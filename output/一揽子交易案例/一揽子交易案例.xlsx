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一 一揽子交易" sheetId="1" state="visible" r:id="rId1"/>
    <sheet name="表二 变种及终止" sheetId="2" state="visible" r:id="rId2"/>
    <sheet name="附注 股价变动明细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i val="1"/>
      <color rgb="00595959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4" customWidth="1" min="3" max="3"/>
    <col width="11" customWidth="1" min="4" max="4"/>
    <col width="12" customWidth="1" min="5" max="5"/>
    <col width="18" customWidth="1" min="6" max="6"/>
    <col width="18" customWidth="1" min="7" max="7"/>
    <col width="10" customWidth="1" min="8" max="8"/>
    <col width="34" customWidth="1" min="9" max="9"/>
    <col width="16" customWidth="1" min="10" max="10"/>
    <col width="13" customWidth="1" min="11" max="11"/>
    <col width="12" customWidth="1" min="12" max="12"/>
    <col width="10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8" customWidth="1" min="19" max="19"/>
    <col width="26" customWidth="1" min="20" max="20"/>
    <col width="11" customWidth="1" min="21" max="21"/>
    <col width="11" customWidth="1" min="22" max="22"/>
    <col width="12" customWidth="1" min="23" max="23"/>
  </cols>
  <sheetData>
    <row r="1">
      <c r="A1" s="1" t="inlineStr">
        <is>
          <t>表一：“股份协议转让+现金收购”一揽子交易案例（2025年以来）</t>
        </is>
      </c>
    </row>
    <row r="2" ht="45" customHeight="1">
      <c r="A2" s="2" t="inlineStr">
        <is>
          <t>证券代码</t>
        </is>
      </c>
      <c r="B2" s="2" t="inlineStr">
        <is>
          <t>上市公司</t>
        </is>
      </c>
      <c r="C2" s="2" t="inlineStr">
        <is>
          <t>上市公司主营业务</t>
        </is>
      </c>
      <c r="D2" s="2" t="inlineStr">
        <is>
          <t>首次公告日</t>
        </is>
      </c>
      <c r="E2" s="2" t="inlineStr">
        <is>
          <t>最新进展</t>
        </is>
      </c>
      <c r="F2" s="2" t="inlineStr">
        <is>
          <t>交易标的</t>
        </is>
      </c>
      <c r="G2" s="2" t="inlineStr">
        <is>
          <t>标的公司主营业务</t>
        </is>
      </c>
      <c r="H2" s="2" t="inlineStr">
        <is>
          <t>并购动机</t>
        </is>
      </c>
      <c r="I2" s="2" t="inlineStr">
        <is>
          <t>股份协议转让安排</t>
        </is>
      </c>
      <c r="J2" s="2" t="inlineStr">
        <is>
          <t>交易方式</t>
        </is>
      </c>
      <c r="K2" s="2" t="inlineStr">
        <is>
          <t>交易作价（万元）</t>
        </is>
      </c>
      <c r="L2" s="2" t="inlineStr">
        <is>
          <t>评估基准日</t>
        </is>
      </c>
      <c r="M2" s="2" t="inlineStr">
        <is>
          <t>最终评估方法</t>
        </is>
      </c>
      <c r="N2" s="2" t="inlineStr">
        <is>
          <t>评估增值率</t>
        </is>
      </c>
      <c r="O2" s="2" t="inlineStr">
        <is>
          <t>报告期最后一年净利润（万元）</t>
        </is>
      </c>
      <c r="P2" s="2" t="inlineStr">
        <is>
          <t>市盈率（报告期最后一年）</t>
        </is>
      </c>
      <c r="Q2" s="2" t="inlineStr">
        <is>
          <t>业绩承诺期平均净利润（万元）</t>
        </is>
      </c>
      <c r="R2" s="2" t="inlineStr">
        <is>
          <t>市盈率（业绩承诺期平均）</t>
        </is>
      </c>
      <c r="S2" s="2" t="inlineStr">
        <is>
          <t>首次公告时是否已审计评估</t>
        </is>
      </c>
      <c r="T2" s="2" t="inlineStr">
        <is>
          <t>审计评估结果首次披露</t>
        </is>
      </c>
      <c r="U2" s="2" t="inlineStr">
        <is>
          <t>公告前一周涨跌幅</t>
        </is>
      </c>
      <c r="V2" s="2" t="inlineStr">
        <is>
          <t>公告后一周涨跌幅</t>
        </is>
      </c>
      <c r="W2" s="2" t="inlineStr">
        <is>
          <t>公告后5日内最高涨幅</t>
        </is>
      </c>
    </row>
    <row r="3">
      <c r="A3" s="3" t="inlineStr">
        <is>
          <t>300715.SZ</t>
        </is>
      </c>
      <c r="B3" s="3" t="inlineStr">
        <is>
          <t>凯伦股份</t>
        </is>
      </c>
      <c r="C3" s="3" t="inlineStr">
        <is>
          <t>建筑防水材料</t>
        </is>
      </c>
      <c r="D3" s="3" t="inlineStr">
        <is>
          <t>2025-01-07</t>
        </is>
      </c>
      <c r="E3" s="3" t="inlineStr">
        <is>
          <t>已完成</t>
        </is>
      </c>
      <c r="F3" s="3" t="inlineStr">
        <is>
          <t>佳智彩51%股权</t>
        </is>
      </c>
      <c r="G3" s="3" t="inlineStr">
        <is>
          <t>新型显示检测设备</t>
        </is>
      </c>
      <c r="H3" s="3" t="inlineStr">
        <is>
          <t>跨界转型</t>
        </is>
      </c>
      <c r="I3" s="3" t="inlineStr">
        <is>
          <t>控股股东及一致行动人转让14.49%（9.22%予硅彩电子、5.27%予陈显锋），6.87元/股，合计3.68亿元</t>
        </is>
      </c>
      <c r="J3" s="3" t="inlineStr">
        <is>
          <t>100%现金</t>
        </is>
      </c>
      <c r="K3" s="4" t="n">
        <v>48318.52</v>
      </c>
      <c r="L3" s="3" t="inlineStr">
        <is>
          <t>2024-12-31</t>
        </is>
      </c>
      <c r="M3" s="3" t="inlineStr">
        <is>
          <t>收益法</t>
        </is>
      </c>
      <c r="N3" s="3" t="inlineStr">
        <is>
          <t>617.70%</t>
        </is>
      </c>
      <c r="O3" s="4" t="n">
        <v>4639.5</v>
      </c>
      <c r="P3" s="4" t="n">
        <v>20.42</v>
      </c>
      <c r="Q3" s="4" t="n">
        <v>8000</v>
      </c>
      <c r="R3" s="4" t="n">
        <v>11.84</v>
      </c>
      <c r="S3" s="3" t="inlineStr">
        <is>
          <t>否（意向协议，作价上限5.1亿元）</t>
        </is>
      </c>
      <c r="T3" s="3" t="inlineStr">
        <is>
          <t>2025-04-02 签署正式股权收购协议公告（评估值9.53亿元）</t>
        </is>
      </c>
      <c r="U3" s="3" t="inlineStr">
        <is>
          <t>+14.04%</t>
        </is>
      </c>
      <c r="V3" s="3" t="inlineStr">
        <is>
          <t>+10.22%</t>
        </is>
      </c>
      <c r="W3" s="3" t="inlineStr">
        <is>
          <t>+43.97%</t>
        </is>
      </c>
    </row>
    <row r="4">
      <c r="A4" s="3" t="inlineStr">
        <is>
          <t>605289.SH</t>
        </is>
      </c>
      <c r="B4" s="3" t="inlineStr">
        <is>
          <t>罗曼股份</t>
        </is>
      </c>
      <c r="C4" s="3" t="inlineStr">
        <is>
          <t>景观照明工程</t>
        </is>
      </c>
      <c r="D4" s="3" t="inlineStr">
        <is>
          <t>2025-08-05</t>
        </is>
      </c>
      <c r="E4" s="3" t="inlineStr">
        <is>
          <t>已完成</t>
        </is>
      </c>
      <c r="F4" s="3" t="inlineStr">
        <is>
          <t>武桐高新39.23%股权（成为第一大股东并控股）</t>
        </is>
      </c>
      <c r="G4" s="3" t="inlineStr">
        <is>
          <t>AIDC算力基础设施集成服务</t>
        </is>
      </c>
      <c r="H4" s="3" t="inlineStr">
        <is>
          <t>跨界转型</t>
        </is>
      </c>
      <c r="I4" s="3" t="inlineStr">
        <is>
          <t>实控人孙建鸣及罗景投资转让5.0455%予上海八荒（与标的出让方同属武创集团），价格不低于签署前一日收盘价90%；不涉及控制权变更，受让股份质押给实控人方作业绩担保</t>
        </is>
      </c>
      <c r="J4" s="3" t="inlineStr">
        <is>
          <t>100%现金（关联交易）</t>
        </is>
      </c>
      <c r="K4" s="4" t="n">
        <v>19615.4</v>
      </c>
      <c r="L4" s="3" t="inlineStr">
        <is>
          <t>2025-06-30</t>
        </is>
      </c>
      <c r="M4" s="3" t="inlineStr">
        <is>
          <t>收益法</t>
        </is>
      </c>
      <c r="N4" s="3" t="inlineStr">
        <is>
          <t>1687.42%</t>
        </is>
      </c>
      <c r="O4" s="4" t="n">
        <v>-108.57</v>
      </c>
      <c r="P4" s="3" t="inlineStr">
        <is>
          <t>/</t>
        </is>
      </c>
      <c r="Q4" s="4" t="n">
        <v>13333.33</v>
      </c>
      <c r="R4" s="4" t="n">
        <v>3.75</v>
      </c>
      <c r="S4" s="3" t="inlineStr">
        <is>
          <t>否（股权收购框架协议）</t>
        </is>
      </c>
      <c r="T4" s="3" t="inlineStr">
        <is>
          <t>2025-09-04 购买资产暨关联交易公告</t>
        </is>
      </c>
      <c r="U4" s="3" t="inlineStr">
        <is>
          <t>+4.66%</t>
        </is>
      </c>
      <c r="V4" s="3" t="inlineStr">
        <is>
          <t>+5.16%</t>
        </is>
      </c>
      <c r="W4" s="3" t="inlineStr">
        <is>
          <t>+5.16%</t>
        </is>
      </c>
    </row>
    <row r="5">
      <c r="A5" s="3" t="inlineStr">
        <is>
          <t>300960.SZ</t>
        </is>
      </c>
      <c r="B5" s="3" t="inlineStr">
        <is>
          <t>通业科技</t>
        </is>
      </c>
      <c r="C5" s="3" t="inlineStr">
        <is>
          <t>轨道交通电气设备</t>
        </is>
      </c>
      <c r="D5" s="3" t="inlineStr">
        <is>
          <t>2025-08-18</t>
        </is>
      </c>
      <c r="E5" s="3" t="inlineStr">
        <is>
          <t>推进中</t>
        </is>
      </c>
      <c r="F5" s="3" t="inlineStr">
        <is>
          <t>思凌科91.69%股权</t>
        </is>
      </c>
      <c r="G5" s="3" t="inlineStr">
        <is>
          <t>电力线载波通信芯片</t>
        </is>
      </c>
      <c r="H5" s="3" t="inlineStr">
        <is>
          <t>跨界转型</t>
        </is>
      </c>
      <c r="I5" s="3" t="inlineStr">
        <is>
          <t>实控人及一致行动人转让6%予标的实控人黄强控制的思凌企管（首次公告为10%，后调整），21.67元/股，约1.88亿元</t>
        </is>
      </c>
      <c r="J5" s="3" t="inlineStr">
        <is>
          <t>100%现金（构成重大资产重组）</t>
        </is>
      </c>
      <c r="K5" s="4" t="n">
        <v>56116.33</v>
      </c>
      <c r="L5" s="3" t="inlineStr">
        <is>
          <t>2025-07-31</t>
        </is>
      </c>
      <c r="M5" s="3" t="inlineStr">
        <is>
          <t>收益法</t>
        </is>
      </c>
      <c r="N5" s="3" t="inlineStr">
        <is>
          <t>387.41%</t>
        </is>
      </c>
      <c r="O5" s="4" t="n">
        <v>2031.8</v>
      </c>
      <c r="P5" s="4" t="n">
        <v>30.12</v>
      </c>
      <c r="Q5" s="4" t="n">
        <v>5833.33</v>
      </c>
      <c r="R5" s="4" t="n">
        <v>10.49</v>
      </c>
      <c r="S5" s="3" t="inlineStr">
        <is>
          <t>否（股权收购意向协议+筹划重大资产重组提示性公告）</t>
        </is>
      </c>
      <c r="T5" s="3" t="inlineStr">
        <is>
          <t>2025-12-29 重大资产购买报告书（草案）</t>
        </is>
      </c>
      <c r="U5" s="3" t="inlineStr">
        <is>
          <t>+2.67%</t>
        </is>
      </c>
      <c r="V5" s="3" t="inlineStr">
        <is>
          <t>-14.63%</t>
        </is>
      </c>
      <c r="W5" s="3" t="inlineStr">
        <is>
          <t>-2.27%</t>
        </is>
      </c>
    </row>
    <row r="6">
      <c r="A6" s="3" t="inlineStr">
        <is>
          <t>300948.SZ</t>
        </is>
      </c>
      <c r="B6" s="3" t="inlineStr">
        <is>
          <t>冠中生态</t>
        </is>
      </c>
      <c r="C6" s="3" t="inlineStr">
        <is>
          <t>生态修复工程</t>
        </is>
      </c>
      <c r="D6" s="3" t="inlineStr">
        <is>
          <t>2025-09-28</t>
        </is>
      </c>
      <c r="E6" s="3" t="inlineStr">
        <is>
          <t>已完成</t>
        </is>
      </c>
      <c r="F6" s="3" t="inlineStr">
        <is>
          <t>杭州精算家51%股权</t>
        </is>
      </c>
      <c r="G6" s="3" t="inlineStr">
        <is>
          <t>AI财税服务</t>
        </is>
      </c>
      <c r="H6" s="3" t="inlineStr">
        <is>
          <t>跨界转型</t>
        </is>
      </c>
      <c r="I6" s="3" t="inlineStr">
        <is>
          <t>控股股东及实控人分两期转让15.50%予深蓝财经（靳春平控制），首期10.50%，15元/股；控制权变更</t>
        </is>
      </c>
      <c r="J6" s="3" t="inlineStr">
        <is>
          <t>100%现金（关联交易）</t>
        </is>
      </c>
      <c r="K6" s="4" t="n">
        <v>25500</v>
      </c>
      <c r="L6" s="3" t="inlineStr">
        <is>
          <t>2025-09-30</t>
        </is>
      </c>
      <c r="M6" s="3" t="inlineStr">
        <is>
          <t>收益法</t>
        </is>
      </c>
      <c r="N6" s="3" t="inlineStr">
        <is>
          <t>1377.55%</t>
        </is>
      </c>
      <c r="O6" s="4" t="n">
        <v>605.6900000000001</v>
      </c>
      <c r="P6" s="4" t="n">
        <v>82.55</v>
      </c>
      <c r="Q6" s="4" t="n">
        <v>6250</v>
      </c>
      <c r="R6" s="4" t="n">
        <v>8</v>
      </c>
      <c r="S6" s="3" t="inlineStr">
        <is>
          <t>否（意向性协议）</t>
        </is>
      </c>
      <c r="T6" s="3" t="inlineStr">
        <is>
          <t>2026-01-27 公告（编号2026-005）</t>
        </is>
      </c>
      <c r="U6" s="3" t="inlineStr">
        <is>
          <t>-1.32%</t>
        </is>
      </c>
      <c r="V6" s="3" t="inlineStr">
        <is>
          <t>+65.00%</t>
        </is>
      </c>
      <c r="W6" s="3" t="inlineStr">
        <is>
          <t>+96.07%</t>
        </is>
      </c>
    </row>
    <row r="7">
      <c r="A7" s="3" t="inlineStr">
        <is>
          <t>603758.SH</t>
        </is>
      </c>
      <c r="B7" s="3" t="inlineStr">
        <is>
          <t>秦安股份</t>
        </is>
      </c>
      <c r="C7" s="3" t="inlineStr">
        <is>
          <t>汽车发动机核心零部件</t>
        </is>
      </c>
      <c r="D7" s="3" t="inlineStr">
        <is>
          <t>2025-11-12</t>
        </is>
      </c>
      <c r="E7" s="3" t="inlineStr">
        <is>
          <t>已完成</t>
        </is>
      </c>
      <c r="F7" s="3" t="inlineStr">
        <is>
          <t>亦高光电99%股权</t>
        </is>
      </c>
      <c r="G7" s="3" t="inlineStr">
        <is>
          <t>真空镀膜（消费电子）</t>
        </is>
      </c>
      <c r="H7" s="3" t="inlineStr">
        <is>
          <t>跨界转型</t>
        </is>
      </c>
      <c r="I7" s="3" t="inlineStr">
        <is>
          <t>实控人YUANMING TANG转让5%予标的控股股东饶亦然，对应公司总市值60.6亿元</t>
        </is>
      </c>
      <c r="J7" s="3" t="inlineStr">
        <is>
          <t>100%现金（全资子公司收购）</t>
        </is>
      </c>
      <c r="K7" s="4" t="n">
        <v>88462.64</v>
      </c>
      <c r="L7" s="3" t="inlineStr">
        <is>
          <t>2025-05-31</t>
        </is>
      </c>
      <c r="M7" s="3" t="inlineStr">
        <is>
          <t>收益法</t>
        </is>
      </c>
      <c r="N7" s="3" t="inlineStr">
        <is>
          <t>289.91%</t>
        </is>
      </c>
      <c r="O7" s="4" t="n">
        <v>6593.64</v>
      </c>
      <c r="P7" s="4" t="n">
        <v>13.55</v>
      </c>
      <c r="Q7" s="4" t="n">
        <v>8000</v>
      </c>
      <c r="R7" s="4" t="n">
        <v>11.17</v>
      </c>
      <c r="S7" s="3" t="inlineStr">
        <is>
          <t>是（此前发股重组已完成审计评估）</t>
        </is>
      </c>
      <c r="T7" s="3" t="inlineStr">
        <is>
          <t>2025-11-12 一揽子方案公告即披露</t>
        </is>
      </c>
      <c r="U7" s="3" t="inlineStr">
        <is>
          <t>+1.58%</t>
        </is>
      </c>
      <c r="V7" s="3" t="inlineStr">
        <is>
          <t>+11.78%</t>
        </is>
      </c>
      <c r="W7" s="3" t="inlineStr">
        <is>
          <t>+12.32%</t>
        </is>
      </c>
    </row>
    <row r="8">
      <c r="A8" s="3" t="inlineStr">
        <is>
          <t>603353.SH</t>
        </is>
      </c>
      <c r="B8" s="3" t="inlineStr">
        <is>
          <t>和顺石油</t>
        </is>
      </c>
      <c r="C8" s="3" t="inlineStr">
        <is>
          <t>成品油零售及批发</t>
        </is>
      </c>
      <c r="D8" s="3" t="inlineStr">
        <is>
          <t>2025-11-16</t>
        </is>
      </c>
      <c r="E8" s="3" t="inlineStr">
        <is>
          <t>股东会已审议（2026-04-03），交割待核</t>
        </is>
      </c>
      <c r="F8" s="3" t="inlineStr">
        <is>
          <t>奎芯科技35.11%股权（受让+增资）+16%表决权委托，合计控制51.11%</t>
        </is>
      </c>
      <c r="G8" s="3" t="inlineStr">
        <is>
          <t>半导体IP及高速互联芯片</t>
        </is>
      </c>
      <c r="H8" s="3" t="inlineStr">
        <is>
          <t>跨界转型</t>
        </is>
      </c>
      <c r="I8" s="3" t="inlineStr">
        <is>
          <t>实控人及一致行动人转让6%予标的实控人陈琬宜，约2.37亿元，解锁与标的业绩挂钩</t>
        </is>
      </c>
      <c r="J8" s="3" t="inlineStr">
        <is>
          <t>100%现金（股权受让+增资）</t>
        </is>
      </c>
      <c r="K8" s="4" t="n">
        <v>54000</v>
      </c>
      <c r="L8" s="3" t="inlineStr">
        <is>
          <t>2025-12-31</t>
        </is>
      </c>
      <c r="M8" s="3" t="inlineStr">
        <is>
          <t>市场法</t>
        </is>
      </c>
      <c r="N8" s="3" t="inlineStr">
        <is>
          <t>821.07%</t>
        </is>
      </c>
      <c r="O8" s="4" t="n">
        <v>2064.05</v>
      </c>
      <c r="P8" s="4" t="n">
        <v>65.79000000000001</v>
      </c>
      <c r="Q8" s="3" t="inlineStr">
        <is>
          <t>/（仅承诺收入）</t>
        </is>
      </c>
      <c r="R8" s="3" t="inlineStr">
        <is>
          <t>/</t>
        </is>
      </c>
      <c r="S8" s="3" t="inlineStr">
        <is>
          <t>否（控制权收购意向协议，投后估值上限15.88亿元）</t>
        </is>
      </c>
      <c r="T8" s="3" t="inlineStr">
        <is>
          <t>2026-03-19 以股权收购及增资方式购买资产暨关联交易公告</t>
        </is>
      </c>
      <c r="U8" s="3" t="inlineStr">
        <is>
          <t>+20.03%</t>
        </is>
      </c>
      <c r="V8" s="3" t="inlineStr">
        <is>
          <t>+9.11%</t>
        </is>
      </c>
      <c r="W8" s="3" t="inlineStr">
        <is>
          <t>+22.14%</t>
        </is>
      </c>
    </row>
    <row r="9">
      <c r="A9" s="3" t="inlineStr">
        <is>
          <t>003018.SZ</t>
        </is>
      </c>
      <c r="B9" s="3" t="inlineStr">
        <is>
          <t>金富科技</t>
        </is>
      </c>
      <c r="C9" s="3" t="inlineStr">
        <is>
          <t>饮料瓶盖</t>
        </is>
      </c>
      <c r="D9" s="3" t="inlineStr">
        <is>
          <t>2026-02-05</t>
        </is>
      </c>
      <c r="E9" s="3" t="inlineStr">
        <is>
          <t>已完成</t>
        </is>
      </c>
      <c r="F9" s="3" t="inlineStr">
        <is>
          <t>卓晖金属51%、联益热能51%股权</t>
        </is>
      </c>
      <c r="G9" s="3" t="inlineStr">
        <is>
          <t>液冷散热模组精密结构件</t>
        </is>
      </c>
      <c r="H9" s="3" t="inlineStr">
        <is>
          <t>跨界转型</t>
        </is>
      </c>
      <c r="I9" s="3" t="inlineStr">
        <is>
          <t>实控人陈金培转让6%予标的创始人莫振龙，对应公司市值40.1亿元；以资产收购完成为前提，锁定36个月</t>
        </is>
      </c>
      <c r="J9" s="3" t="inlineStr">
        <is>
          <t>100%现金</t>
        </is>
      </c>
      <c r="K9" s="4" t="n">
        <v>57120</v>
      </c>
      <c r="L9" s="3" t="inlineStr">
        <is>
          <t>2025-10-31</t>
        </is>
      </c>
      <c r="M9" s="3" t="inlineStr">
        <is>
          <t>收益法</t>
        </is>
      </c>
      <c r="N9" s="3" t="inlineStr">
        <is>
          <t>1175.00%</t>
        </is>
      </c>
      <c r="O9" s="4" t="n">
        <v>956.28</v>
      </c>
      <c r="P9" s="4" t="n">
        <v>117.12</v>
      </c>
      <c r="Q9" s="4" t="n">
        <v>13000</v>
      </c>
      <c r="R9" s="4" t="n">
        <v>8.619999999999999</v>
      </c>
      <c r="S9" s="3" t="inlineStr">
        <is>
          <t>否（框架协议，作价上限7.14亿元）</t>
        </is>
      </c>
      <c r="T9" s="3" t="inlineStr">
        <is>
          <t>2026-03-14 购买资产暨关联交易公告</t>
        </is>
      </c>
      <c r="U9" s="3" t="inlineStr">
        <is>
          <t>+6.08%</t>
        </is>
      </c>
      <c r="V9" s="3" t="inlineStr">
        <is>
          <t>+19.90%</t>
        </is>
      </c>
      <c r="W9" s="3" t="inlineStr">
        <is>
          <t>+26.08%</t>
        </is>
      </c>
    </row>
    <row r="10">
      <c r="A10" s="3" t="inlineStr">
        <is>
          <t>002980.SZ</t>
        </is>
      </c>
      <c r="B10" s="3" t="inlineStr">
        <is>
          <t>华盛昌</t>
        </is>
      </c>
      <c r="C10" s="3" t="inlineStr">
        <is>
          <t>测试测量仪器</t>
        </is>
      </c>
      <c r="D10" s="3" t="inlineStr">
        <is>
          <t>2026-02-27</t>
        </is>
      </c>
      <c r="E10" s="3" t="inlineStr">
        <is>
          <t>已完成</t>
        </is>
      </c>
      <c r="F10" s="3" t="inlineStr">
        <is>
          <t>伽蓝特100%股权</t>
        </is>
      </c>
      <c r="G10" s="3" t="inlineStr">
        <is>
          <t>光通信模块及光芯片测试</t>
        </is>
      </c>
      <c r="H10" s="3" t="inlineStr">
        <is>
          <t>横向整合</t>
        </is>
      </c>
      <c r="I10" s="3" t="inlineStr">
        <is>
          <t>控股股东袁剑敏转让5%予标的创始股东余新文，对应公司市值44.9亿元；以收购完成为前提</t>
        </is>
      </c>
      <c r="J10" s="3" t="inlineStr">
        <is>
          <t>100%现金</t>
        </is>
      </c>
      <c r="K10" s="4" t="n">
        <v>46000</v>
      </c>
      <c r="L10" s="3" t="inlineStr">
        <is>
          <t>2025-12-31</t>
        </is>
      </c>
      <c r="M10" s="3" t="inlineStr">
        <is>
          <t>收益法</t>
        </is>
      </c>
      <c r="N10" s="3" t="inlineStr">
        <is>
          <t>843.18%</t>
        </is>
      </c>
      <c r="O10" s="4" t="n">
        <v>3261.58</v>
      </c>
      <c r="P10" s="4" t="n">
        <v>14.1</v>
      </c>
      <c r="Q10" s="4" t="n">
        <v>3833.33</v>
      </c>
      <c r="R10" s="4" t="n">
        <v>12</v>
      </c>
      <c r="S10" s="3" t="inlineStr">
        <is>
          <t>否（意向协议，估值暂定4.6亿元）</t>
        </is>
      </c>
      <c r="T10" s="3" t="inlineStr">
        <is>
          <t>2026-04-18 支付现金购买资产协议公告（评估值4.72亿元）</t>
        </is>
      </c>
      <c r="U10" s="3" t="inlineStr">
        <is>
          <t>+20.71%</t>
        </is>
      </c>
      <c r="V10" s="3" t="inlineStr">
        <is>
          <t>+18.74%</t>
        </is>
      </c>
      <c r="W10" s="3" t="inlineStr">
        <is>
          <t>+21.02%</t>
        </is>
      </c>
    </row>
    <row r="11">
      <c r="A11" s="3" t="inlineStr">
        <is>
          <t>603221.SH</t>
        </is>
      </c>
      <c r="B11" s="3" t="inlineStr">
        <is>
          <t>爱丽家居</t>
        </is>
      </c>
      <c r="C11" s="3" t="inlineStr">
        <is>
          <t>PVC地板</t>
        </is>
      </c>
      <c r="D11" s="3" t="inlineStr">
        <is>
          <t>2026-07-21</t>
        </is>
      </c>
      <c r="E11" s="3" t="inlineStr">
        <is>
          <t>意向协议</t>
        </is>
      </c>
      <c r="F11" s="3" t="inlineStr">
        <is>
          <t>欧康诺不低于77.08%股权</t>
        </is>
      </c>
      <c r="G11" s="3" t="inlineStr">
        <is>
          <t>存储测试设备及测试服务</t>
        </is>
      </c>
      <c r="H11" s="3" t="inlineStr">
        <is>
          <t>跨界转型</t>
        </is>
      </c>
      <c r="I11" s="3" t="inlineStr">
        <is>
          <t>控股股东博华企业转让20%予标的实控人赵铭及百年勤书，对应公司市值22.7亿元</t>
        </is>
      </c>
      <c r="J11" s="3" t="inlineStr">
        <is>
          <t>100%现金（关联交易）</t>
        </is>
      </c>
      <c r="K11" s="3" t="inlineStr">
        <is>
          <t>≤50,102（100%估值≤65,000）</t>
        </is>
      </c>
      <c r="L11" s="3" t="inlineStr">
        <is>
          <t>未披露</t>
        </is>
      </c>
      <c r="M11" s="3" t="inlineStr">
        <is>
          <t>未披露</t>
        </is>
      </c>
      <c r="N11" s="3" t="inlineStr">
        <is>
          <t>约490%（按上限测算）</t>
        </is>
      </c>
      <c r="O11" s="4" t="n">
        <v>610.6799999999999</v>
      </c>
      <c r="P11" s="3" t="inlineStr">
        <is>
          <t>约106.4</t>
        </is>
      </c>
      <c r="Q11" s="4" t="n">
        <v>5750</v>
      </c>
      <c r="R11" s="3" t="inlineStr">
        <is>
          <t>约11.30</t>
        </is>
      </c>
      <c r="S11" s="3" t="inlineStr">
        <is>
          <t>否（意向协议）</t>
        </is>
      </c>
      <c r="T11" s="3" t="inlineStr">
        <is>
          <t>尚未披露</t>
        </is>
      </c>
      <c r="U11" s="3" t="inlineStr">
        <is>
          <t>-18.79%</t>
        </is>
      </c>
      <c r="V11" s="3" t="inlineStr">
        <is>
          <t>+61.05%</t>
        </is>
      </c>
      <c r="W11" s="3" t="inlineStr">
        <is>
          <t>+61.05%</t>
        </is>
      </c>
    </row>
    <row r="13">
      <c r="A13" s="5" t="inlineStr">
        <is>
          <t>注1：市盈率按“交易作价÷收购比例”折算的100%估值计算；业绩承诺期平均净利润=承诺期累计承诺净利润÷年数。</t>
        </is>
      </c>
    </row>
    <row r="14">
      <c r="A14" s="5" t="inlineStr">
        <is>
          <t>注2：凯伦股份承诺2025–2027年累计扣非净利润不低于24,000万元；通业科技承诺2026–2028年累计净利润不低于17,500万元；凯伦、通业、金富（两家标的合计）、秦安、冠中净利润取2024年数，和顺、华盛昌、五洋、爱丽取2025年数。</t>
        </is>
      </c>
    </row>
    <row r="15">
      <c r="A15" s="5" t="inlineStr">
        <is>
          <t>注3：罗曼股份承诺2025–2027年累计扣非净利润不低于40,000万元，评估值51,308万元，协商确定100%股权价格50,000万元，标的2024年亏损，按100%折算估值约49,961万元，承诺期市盈率偏低；罗曼股份受让方上海八荒与标的出让方同属武创集团；冠中生态为“控制权变更+向新实控方关联资产现金收购”类型。冠中生态承诺2026–2028年净利润5,000/6,250/7,500万元；秦安股份承诺2025–2027年7,000/8,000/9,000万元，净利润为2024年数。</t>
        </is>
      </c>
    </row>
    <row r="16">
      <c r="A16" s="5" t="inlineStr">
        <is>
          <t>注4：金富科技承诺2026年11,000万元、2027–2028年累计28,000万元；华盛昌承诺2026–2028年累计11,500万元；爱丽家居承诺2026–2029年5,000/5,000/6,000/7,000万元，净利润为2025年未审数。</t>
        </is>
      </c>
    </row>
    <row r="17">
      <c r="A17" s="5" t="inlineStr">
        <is>
          <t>注5：和顺石油业绩承诺为2026–2028年收入不低于4.5/6.0/7.5亿元且净利润为正，未承诺净利润金额，承诺期市盈率不适用；收购前100%股权作价13.58亿元，市盈率按13.58亿元计算。秦安股份2025-07-11曾披露发行股份购买资产预案，2025-09-19终止后改为现金收购+协议转让，本表首次公告日取一揽子方案公告日。</t>
        </is>
      </c>
    </row>
    <row r="18">
      <c r="A18" s="5" t="inlineStr">
        <is>
          <t>注6：股价涨跌幅口径（前复权收盘价）：基准日D为首次公告（或停牌）前最后一个交易日；前一周=D日收盘÷D前第5个交易日收盘−1，后一周=D后（复牌后）第5个交易日收盘÷D日收盘−1。</t>
        </is>
      </c>
    </row>
    <row r="19">
      <c r="A19" s="5" t="inlineStr">
        <is>
          <t>注7：各案例基准日D：凯伦2025-01-07、罗曼2025-08-05、秦安2025-11-11、金富2026-02-05、华盛昌2026-02-27、爱丽2026-07-20（均为当日晚间公告）；通业2025-08-18（当日21:40公告）；和顺2025-11-14（意向协议当日签署，11-16周日晚间公告）；冠中2025-09-19（09-22起停牌，09-29复牌）。</t>
        </is>
      </c>
    </row>
    <row r="20">
      <c r="A20" s="5" t="inlineStr">
        <is>
          <t>注8：股价变动明细及简评见“附注 股价变动明细”工作表。</t>
        </is>
      </c>
    </row>
    <row r="21">
      <c r="A21" s="5" t="inlineStr">
        <is>
          <t>资料来源：各公司公告、公开报道；黄底为待补字段</t>
        </is>
      </c>
    </row>
  </sheetData>
  <mergeCells count="9">
    <mergeCell ref="A13:W13"/>
    <mergeCell ref="A14:W14"/>
    <mergeCell ref="A17:W17"/>
    <mergeCell ref="A18:W18"/>
    <mergeCell ref="A20:W20"/>
    <mergeCell ref="A21:W21"/>
    <mergeCell ref="A16:W16"/>
    <mergeCell ref="A15:W15"/>
    <mergeCell ref="A19:W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4" customWidth="1" min="3" max="3"/>
    <col width="11" customWidth="1" min="4" max="4"/>
    <col width="12" customWidth="1" min="5" max="5"/>
    <col width="18" customWidth="1" min="6" max="6"/>
    <col width="18" customWidth="1" min="7" max="7"/>
    <col width="10" customWidth="1" min="8" max="8"/>
    <col width="34" customWidth="1" min="9" max="9"/>
    <col width="16" customWidth="1" min="10" max="10"/>
    <col width="13" customWidth="1" min="11" max="11"/>
    <col width="12" customWidth="1" min="12" max="12"/>
    <col width="10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8" customWidth="1" min="19" max="19"/>
    <col width="26" customWidth="1" min="20" max="20"/>
    <col width="11" customWidth="1" min="21" max="21"/>
    <col width="11" customWidth="1" min="22" max="22"/>
    <col width="12" customWidth="1" min="23" max="23"/>
  </cols>
  <sheetData>
    <row r="1">
      <c r="A1" s="1" t="inlineStr">
        <is>
          <t>表二：变种及已终止案例</t>
        </is>
      </c>
    </row>
    <row r="2" ht="45" customHeight="1">
      <c r="A2" s="2" t="inlineStr">
        <is>
          <t>证券代码</t>
        </is>
      </c>
      <c r="B2" s="2" t="inlineStr">
        <is>
          <t>上市公司</t>
        </is>
      </c>
      <c r="C2" s="2" t="inlineStr">
        <is>
          <t>上市公司主营业务</t>
        </is>
      </c>
      <c r="D2" s="2" t="inlineStr">
        <is>
          <t>首次公告日</t>
        </is>
      </c>
      <c r="E2" s="2" t="inlineStr">
        <is>
          <t>最新进展</t>
        </is>
      </c>
      <c r="F2" s="2" t="inlineStr">
        <is>
          <t>交易标的</t>
        </is>
      </c>
      <c r="G2" s="2" t="inlineStr">
        <is>
          <t>标的公司主营业务</t>
        </is>
      </c>
      <c r="H2" s="2" t="inlineStr">
        <is>
          <t>并购动机</t>
        </is>
      </c>
      <c r="I2" s="2" t="inlineStr">
        <is>
          <t>股份协议转让安排</t>
        </is>
      </c>
      <c r="J2" s="2" t="inlineStr">
        <is>
          <t>交易方式</t>
        </is>
      </c>
      <c r="K2" s="2" t="inlineStr">
        <is>
          <t>交易作价（万元）</t>
        </is>
      </c>
      <c r="L2" s="2" t="inlineStr">
        <is>
          <t>评估基准日</t>
        </is>
      </c>
      <c r="M2" s="2" t="inlineStr">
        <is>
          <t>最终评估方法</t>
        </is>
      </c>
      <c r="N2" s="2" t="inlineStr">
        <is>
          <t>评估增值率</t>
        </is>
      </c>
      <c r="O2" s="2" t="inlineStr">
        <is>
          <t>报告期最后一年净利润（万元）</t>
        </is>
      </c>
      <c r="P2" s="2" t="inlineStr">
        <is>
          <t>市盈率（报告期最后一年）</t>
        </is>
      </c>
      <c r="Q2" s="2" t="inlineStr">
        <is>
          <t>业绩承诺期平均净利润（万元）</t>
        </is>
      </c>
      <c r="R2" s="2" t="inlineStr">
        <is>
          <t>市盈率（业绩承诺期平均）</t>
        </is>
      </c>
      <c r="S2" s="2" t="inlineStr">
        <is>
          <t>首次公告时是否已审计评估</t>
        </is>
      </c>
      <c r="T2" s="2" t="inlineStr">
        <is>
          <t>审计评估结果首次披露</t>
        </is>
      </c>
      <c r="U2" s="2" t="inlineStr">
        <is>
          <t>公告前一周涨跌幅</t>
        </is>
      </c>
      <c r="V2" s="2" t="inlineStr">
        <is>
          <t>公告后一周涨跌幅</t>
        </is>
      </c>
      <c r="W2" s="2" t="inlineStr">
        <is>
          <t>公告后5日内最高涨幅</t>
        </is>
      </c>
    </row>
    <row r="3">
      <c r="A3" s="3" t="inlineStr">
        <is>
          <t>001696.SZ</t>
        </is>
      </c>
      <c r="B3" s="3" t="inlineStr">
        <is>
          <t>宗申动力</t>
        </is>
      </c>
      <c r="C3" s="3" t="inlineStr">
        <is>
          <t>通机动力、摩托车发动机</t>
        </is>
      </c>
      <c r="D3" s="3" t="inlineStr">
        <is>
          <t>2023-05-25</t>
        </is>
      </c>
      <c r="E3" s="3" t="inlineStr">
        <is>
          <t>已完成（变种）</t>
        </is>
      </c>
      <c r="F3" s="3" t="inlineStr">
        <is>
          <t>锂智慧60%股权并增资</t>
        </is>
      </c>
      <c r="G3" s="3" t="inlineStr">
        <is>
          <t>储能电池</t>
        </is>
      </c>
      <c r="H3" s="3" t="inlineStr">
        <is>
          <t>多元化</t>
        </is>
      </c>
      <c r="I3" s="3" t="inlineStr">
        <is>
          <t>无协议转让；标的原股东承诺首付款后24个月内在二级市场买入不低于2,500万元公司股票并质押</t>
        </is>
      </c>
      <c r="J3" s="3" t="inlineStr">
        <is>
          <t>100%现金（收购3.24亿元+增资3,000万元）</t>
        </is>
      </c>
      <c r="K3" s="4" t="n">
        <v>32400</v>
      </c>
      <c r="L3" s="6" t="inlineStr">
        <is>
          <t>待补</t>
        </is>
      </c>
      <c r="M3" s="6" t="inlineStr">
        <is>
          <t>待补</t>
        </is>
      </c>
      <c r="N3" s="6" t="inlineStr">
        <is>
          <t>待补</t>
        </is>
      </c>
      <c r="O3" s="6" t="inlineStr">
        <is>
          <t>待补</t>
        </is>
      </c>
      <c r="P3" s="6" t="inlineStr">
        <is>
          <t>待补</t>
        </is>
      </c>
      <c r="Q3" s="4" t="n">
        <v>4500</v>
      </c>
      <c r="R3" s="4" t="n">
        <v>12</v>
      </c>
      <c r="S3" s="6" t="inlineStr">
        <is>
          <t>待补</t>
        </is>
      </c>
      <c r="T3" s="6" t="inlineStr">
        <is>
          <t>待补</t>
        </is>
      </c>
      <c r="U3" s="3" t="inlineStr">
        <is>
          <t>-0.80%</t>
        </is>
      </c>
      <c r="V3" s="3" t="inlineStr">
        <is>
          <t>+0.65%</t>
        </is>
      </c>
      <c r="W3" s="3" t="inlineStr">
        <is>
          <t>+1.13%</t>
        </is>
      </c>
    </row>
    <row r="4">
      <c r="A4" s="3" t="inlineStr">
        <is>
          <t>300420.SZ</t>
        </is>
      </c>
      <c r="B4" s="3" t="inlineStr">
        <is>
          <t>五洋自控</t>
        </is>
      </c>
      <c r="C4" s="3" t="inlineStr">
        <is>
          <t>自动化控制设备、工程机械</t>
        </is>
      </c>
      <c r="D4" s="3" t="inlineStr">
        <is>
          <t>2026-06-04</t>
        </is>
      </c>
      <c r="E4" s="3" t="inlineStr">
        <is>
          <t>推进中（变种）</t>
        </is>
      </c>
      <c r="F4" s="3" t="inlineStr">
        <is>
          <t>柯斯宇液冷51%股权</t>
        </is>
      </c>
      <c r="G4" s="3" t="inlineStr">
        <is>
          <t>服务器液冷核心部件</t>
        </is>
      </c>
      <c r="H4" s="3" t="inlineStr">
        <is>
          <t>跨界转型</t>
        </is>
      </c>
      <c r="I4" s="3" t="inlineStr">
        <is>
          <t>收购公告后23天（2026-06-26），标的主要卖方时培培以7.20元/股受让原实控人侯友夫、蔡敏等5.0979%股份，约4.1亿元；公司未认定为一揽子交易</t>
        </is>
      </c>
      <c r="J4" s="3" t="inlineStr">
        <is>
          <t>100%现金</t>
        </is>
      </c>
      <c r="K4" s="4" t="n">
        <v>68085</v>
      </c>
      <c r="L4" s="3" t="inlineStr">
        <is>
          <t>2026-03-31</t>
        </is>
      </c>
      <c r="M4" s="3" t="inlineStr">
        <is>
          <t>市场法</t>
        </is>
      </c>
      <c r="N4" s="3" t="inlineStr">
        <is>
          <t>1969.09%</t>
        </is>
      </c>
      <c r="O4" s="4" t="n">
        <v>4427.05</v>
      </c>
      <c r="P4" s="4" t="n">
        <v>30.16</v>
      </c>
      <c r="Q4" s="4" t="n">
        <v>12000</v>
      </c>
      <c r="R4" s="4" t="n">
        <v>11.13</v>
      </c>
      <c r="S4" s="3" t="inlineStr">
        <is>
          <t>是（首次公告即为收购股权公告，含评估）</t>
        </is>
      </c>
      <c r="T4" s="3" t="inlineStr">
        <is>
          <t>2026-06-04 收购股权公告</t>
        </is>
      </c>
      <c r="U4" s="3" t="inlineStr">
        <is>
          <t>+19.96%</t>
        </is>
      </c>
      <c r="V4" s="3" t="inlineStr">
        <is>
          <t>+2.65%</t>
        </is>
      </c>
      <c r="W4" s="3" t="inlineStr">
        <is>
          <t>+12.39%</t>
        </is>
      </c>
    </row>
    <row r="5">
      <c r="A5" s="3" t="inlineStr">
        <is>
          <t>688228.SH</t>
        </is>
      </c>
      <c r="B5" s="3" t="inlineStr">
        <is>
          <t>开普云</t>
        </is>
      </c>
      <c r="C5" s="3" t="inlineStr">
        <is>
          <t>政务数字化软件</t>
        </is>
      </c>
      <c r="D5" s="3" t="inlineStr">
        <is>
          <t>2025-08-25</t>
        </is>
      </c>
      <c r="E5" s="3" t="inlineStr">
        <is>
          <t>已终止（2026-02-24）</t>
        </is>
      </c>
      <c r="F5" s="3" t="inlineStr">
        <is>
          <t>南宁泰克100%（70%现金+30%发股）</t>
        </is>
      </c>
      <c r="G5" s="3" t="inlineStr">
        <is>
          <t>存储产品</t>
        </is>
      </c>
      <c r="H5" s="3" t="inlineStr">
        <is>
          <t>跨界转型</t>
        </is>
      </c>
      <c r="I5" s="3" t="inlineStr">
        <is>
          <t>实控人汪敏等转让20.73%予深圳晤股峰登（标的方关联），52.64元/股</t>
        </is>
      </c>
      <c r="J5" s="3" t="inlineStr">
        <is>
          <t>70%现金+30%发行股份</t>
        </is>
      </c>
      <c r="K5" s="3" t="inlineStr">
        <is>
          <t>未定价</t>
        </is>
      </c>
      <c r="L5" s="3" t="inlineStr">
        <is>
          <t>/</t>
        </is>
      </c>
      <c r="M5" s="3" t="inlineStr">
        <is>
          <t>/</t>
        </is>
      </c>
      <c r="N5" s="3" t="inlineStr">
        <is>
          <t>/</t>
        </is>
      </c>
      <c r="O5" s="3" t="inlineStr">
        <is>
          <t>13,600（2024年）</t>
        </is>
      </c>
      <c r="P5" s="3" t="inlineStr">
        <is>
          <t>/</t>
        </is>
      </c>
      <c r="Q5" s="3" t="inlineStr">
        <is>
          <t>/</t>
        </is>
      </c>
      <c r="R5" s="3" t="inlineStr">
        <is>
          <t>/</t>
        </is>
      </c>
      <c r="S5" s="3" t="inlineStr">
        <is>
          <t>否（重大资产购买预案）</t>
        </is>
      </c>
      <c r="T5" s="3" t="inlineStr">
        <is>
          <t>终止前未披露</t>
        </is>
      </c>
      <c r="U5" s="3" t="inlineStr">
        <is>
          <t>+2.65%</t>
        </is>
      </c>
      <c r="V5" s="3" t="inlineStr">
        <is>
          <t>+133.74%</t>
        </is>
      </c>
      <c r="W5" s="3" t="inlineStr">
        <is>
          <t>+133.74%</t>
        </is>
      </c>
    </row>
    <row r="7">
      <c r="A7" s="5" t="inlineStr">
        <is>
          <t>注：股价基准日——宗申动力2023-05-24、五洋自控2026-06-04（均为晚间公告）、开普云2025-08-08（08-11起停牌，08-25复牌）。宗申动力为“现金收购+二级市场增持”变种，承诺2023–2025年净利润3,500/4,500/5,500万元；五洋自控为“先现金收购、后标的卖方受让原实控人股份”的事后衔接变种，承诺2026年净利润9,000万元、2027–2028年累计27,000万元；标的股东通过二级市场而非协议转让取得上市公司股份；开普云为已终止案例，仅供参考。</t>
        </is>
      </c>
    </row>
    <row r="8">
      <c r="A8" s="5" t="inlineStr">
        <is>
          <t>资料来源：各公司公告、公开报道；黄底为待补字段</t>
        </is>
      </c>
    </row>
  </sheetData>
  <mergeCells count="2">
    <mergeCell ref="A8:W8"/>
    <mergeCell ref="A7:W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9" customWidth="1" min="3" max="3"/>
    <col width="12" customWidth="1" min="4" max="4"/>
    <col width="9" customWidth="1" min="5" max="5"/>
    <col width="13" customWidth="1" min="6" max="6"/>
    <col width="9" customWidth="1" min="7" max="7"/>
    <col width="14" customWidth="1" min="8" max="8"/>
    <col width="9" customWidth="1" min="9" max="9"/>
    <col width="13" customWidth="1" min="10" max="10"/>
    <col width="13" customWidth="1" min="11" max="11"/>
    <col width="14" customWidth="1" min="12" max="12"/>
    <col width="30" customWidth="1" min="13" max="13"/>
  </cols>
  <sheetData>
    <row r="1">
      <c r="A1" s="1" t="inlineStr">
        <is>
          <t>附表：首次公告前后股价变动计算过程</t>
        </is>
      </c>
    </row>
    <row r="2" ht="32" customHeight="1">
      <c r="A2" s="2" t="inlineStr">
        <is>
          <t>公司</t>
        </is>
      </c>
      <c r="B2" s="2" t="inlineStr">
        <is>
          <t>前推第5个交易日</t>
        </is>
      </c>
      <c r="C2" s="2" t="inlineStr">
        <is>
          <t>收盘价①</t>
        </is>
      </c>
      <c r="D2" s="2" t="inlineStr">
        <is>
          <t>基准日</t>
        </is>
      </c>
      <c r="E2" s="2" t="inlineStr">
        <is>
          <t>收盘价②</t>
        </is>
      </c>
      <c r="F2" s="2" t="inlineStr">
        <is>
          <t>后推第5个交易日</t>
        </is>
      </c>
      <c r="G2" s="2" t="inlineStr">
        <is>
          <t>收盘价③</t>
        </is>
      </c>
      <c r="H2" s="2" t="inlineStr">
        <is>
          <t>5日内最高收盘日</t>
        </is>
      </c>
      <c r="I2" s="2" t="inlineStr">
        <is>
          <t>收盘价④</t>
        </is>
      </c>
      <c r="J2" s="2" t="inlineStr">
        <is>
          <t>公告前一周涨跌幅</t>
        </is>
      </c>
      <c r="K2" s="2" t="inlineStr">
        <is>
          <t>公告后一周涨跌幅</t>
        </is>
      </c>
      <c r="L2" s="2" t="inlineStr">
        <is>
          <t>公告后5日内最高涨幅</t>
        </is>
      </c>
      <c r="M2" s="2" t="inlineStr">
        <is>
          <t>简评</t>
        </is>
      </c>
    </row>
    <row r="3">
      <c r="A3" s="7" t="inlineStr">
        <is>
          <t>计算公式</t>
        </is>
      </c>
      <c r="B3" s="7" t="inlineStr"/>
      <c r="C3" s="7" t="inlineStr"/>
      <c r="D3" s="7" t="inlineStr"/>
      <c r="E3" s="7" t="inlineStr"/>
      <c r="F3" s="7" t="inlineStr"/>
      <c r="G3" s="7" t="inlineStr"/>
      <c r="H3" s="7" t="inlineStr"/>
      <c r="I3" s="7" t="inlineStr"/>
      <c r="J3" s="7">
        <f>②÷①−1</f>
        <v/>
      </c>
      <c r="K3" s="7">
        <f>③÷②−1</f>
        <v/>
      </c>
      <c r="L3" s="7">
        <f>④÷②−1</f>
        <v/>
      </c>
      <c r="M3" s="7" t="inlineStr"/>
    </row>
    <row r="4">
      <c r="A4" s="3" t="inlineStr">
        <is>
          <t>凯伦股份</t>
        </is>
      </c>
      <c r="B4" s="3" t="inlineStr">
        <is>
          <t>2024-12-30</t>
        </is>
      </c>
      <c r="C4" s="8" t="n">
        <v>7.12</v>
      </c>
      <c r="D4" s="3" t="inlineStr">
        <is>
          <t>2025-01-07</t>
        </is>
      </c>
      <c r="E4" s="8" t="n">
        <v>8.119999999999999</v>
      </c>
      <c r="F4" s="3" t="inlineStr">
        <is>
          <t>2025-01-14</t>
        </is>
      </c>
      <c r="G4" s="8" t="n">
        <v>8.949999999999999</v>
      </c>
      <c r="H4" s="3" t="inlineStr">
        <is>
          <t>2025-01-09</t>
        </is>
      </c>
      <c r="I4" s="8" t="n">
        <v>11.69</v>
      </c>
      <c r="J4" s="9">
        <f>E4/C4-1</f>
        <v/>
      </c>
      <c r="K4" s="9">
        <f>G4/E4-1</f>
        <v/>
      </c>
      <c r="L4" s="9">
        <f>I4/E4-1</f>
        <v/>
      </c>
      <c r="M4" s="3" t="inlineStr">
        <is>
          <t>连续2个涨停后回落</t>
        </is>
      </c>
    </row>
    <row r="5">
      <c r="A5" s="3" t="inlineStr">
        <is>
          <t>罗曼股份</t>
        </is>
      </c>
      <c r="B5" s="3" t="inlineStr">
        <is>
          <t>2025-07-29</t>
        </is>
      </c>
      <c r="C5" s="8" t="n">
        <v>25.75</v>
      </c>
      <c r="D5" s="3" t="inlineStr">
        <is>
          <t>2025-08-05</t>
        </is>
      </c>
      <c r="E5" s="8" t="n">
        <v>26.95</v>
      </c>
      <c r="F5" s="3" t="inlineStr">
        <is>
          <t>2025-08-12</t>
        </is>
      </c>
      <c r="G5" s="8" t="n">
        <v>28.34</v>
      </c>
      <c r="H5" s="3" t="inlineStr">
        <is>
          <t>2025-08-12</t>
        </is>
      </c>
      <c r="I5" s="8" t="n">
        <v>28.34</v>
      </c>
      <c r="J5" s="9">
        <f>E5/C5-1</f>
        <v/>
      </c>
      <c r="K5" s="9">
        <f>G5/E5-1</f>
        <v/>
      </c>
      <c r="L5" s="9">
        <f>I5/E5-1</f>
        <v/>
      </c>
      <c r="M5" s="3" t="inlineStr">
        <is>
          <t>反应平淡</t>
        </is>
      </c>
    </row>
    <row r="6">
      <c r="A6" s="3" t="inlineStr">
        <is>
          <t>通业科技</t>
        </is>
      </c>
      <c r="B6" s="3" t="inlineStr">
        <is>
          <t>2025-08-11</t>
        </is>
      </c>
      <c r="C6" s="8" t="n">
        <v>34.82</v>
      </c>
      <c r="D6" s="3" t="inlineStr">
        <is>
          <t>2025-08-18</t>
        </is>
      </c>
      <c r="E6" s="8" t="n">
        <v>35.75</v>
      </c>
      <c r="F6" s="3" t="inlineStr">
        <is>
          <t>2025-08-25</t>
        </is>
      </c>
      <c r="G6" s="8" t="n">
        <v>30.52</v>
      </c>
      <c r="H6" s="3" t="inlineStr">
        <is>
          <t>2025-08-19</t>
        </is>
      </c>
      <c r="I6" s="8" t="n">
        <v>34.94</v>
      </c>
      <c r="J6" s="9">
        <f>E6/C6-1</f>
        <v/>
      </c>
      <c r="K6" s="9">
        <f>G6/E6-1</f>
        <v/>
      </c>
      <c r="L6" s="9">
        <f>I6/E6-1</f>
        <v/>
      </c>
      <c r="M6" s="3" t="inlineStr">
        <is>
          <t>同日公告筹划重大资产重组，持续下跌</t>
        </is>
      </c>
    </row>
    <row r="7">
      <c r="A7" s="3" t="inlineStr">
        <is>
          <t>冠中生态</t>
        </is>
      </c>
      <c r="B7" s="3" t="inlineStr">
        <is>
          <t>2025-09-12</t>
        </is>
      </c>
      <c r="C7" s="8" t="n">
        <v>11.35</v>
      </c>
      <c r="D7" s="3" t="inlineStr">
        <is>
          <t>2025-09-19</t>
        </is>
      </c>
      <c r="E7" s="8" t="n">
        <v>11.2</v>
      </c>
      <c r="F7" s="3" t="inlineStr">
        <is>
          <t>2025-10-13</t>
        </is>
      </c>
      <c r="G7" s="8" t="n">
        <v>18.48</v>
      </c>
      <c r="H7" s="3" t="inlineStr">
        <is>
          <t>2025-10-10</t>
        </is>
      </c>
      <c r="I7" s="8" t="n">
        <v>21.96</v>
      </c>
      <c r="J7" s="9">
        <f>E7/C7-1</f>
        <v/>
      </c>
      <c r="K7" s="9">
        <f>G7/E7-1</f>
        <v/>
      </c>
      <c r="L7" s="9">
        <f>I7/E7-1</f>
        <v/>
      </c>
      <c r="M7" s="3" t="inlineStr">
        <is>
          <t>停牌复牌后连续3个涨停</t>
        </is>
      </c>
    </row>
    <row r="8">
      <c r="A8" s="3" t="inlineStr">
        <is>
          <t>秦安股份</t>
        </is>
      </c>
      <c r="B8" s="3" t="inlineStr">
        <is>
          <t>2025-11-04</t>
        </is>
      </c>
      <c r="C8" s="8" t="n">
        <v>14.54</v>
      </c>
      <c r="D8" s="3" t="inlineStr">
        <is>
          <t>2025-11-11</t>
        </is>
      </c>
      <c r="E8" s="8" t="n">
        <v>14.77</v>
      </c>
      <c r="F8" s="3" t="inlineStr">
        <is>
          <t>2025-11-18</t>
        </is>
      </c>
      <c r="G8" s="8" t="n">
        <v>16.51</v>
      </c>
      <c r="H8" s="3" t="inlineStr">
        <is>
          <t>2025-11-17</t>
        </is>
      </c>
      <c r="I8" s="8" t="n">
        <v>16.59</v>
      </c>
      <c r="J8" s="9">
        <f>E8/C8-1</f>
        <v/>
      </c>
      <c r="K8" s="9">
        <f>G8/E8-1</f>
        <v/>
      </c>
      <c r="L8" s="9">
        <f>I8/E8-1</f>
        <v/>
      </c>
      <c r="M8" s="3" t="inlineStr">
        <is>
          <t>放量上涨</t>
        </is>
      </c>
    </row>
    <row r="9">
      <c r="A9" s="3" t="inlineStr">
        <is>
          <t>和顺石油</t>
        </is>
      </c>
      <c r="B9" s="3" t="inlineStr">
        <is>
          <t>2025-11-07</t>
        </is>
      </c>
      <c r="C9" s="8" t="n">
        <v>23.22</v>
      </c>
      <c r="D9" s="3" t="inlineStr">
        <is>
          <t>2025-11-14</t>
        </is>
      </c>
      <c r="E9" s="8" t="n">
        <v>27.87</v>
      </c>
      <c r="F9" s="3" t="inlineStr">
        <is>
          <t>2025-11-21</t>
        </is>
      </c>
      <c r="G9" s="8" t="n">
        <v>30.41</v>
      </c>
      <c r="H9" s="3" t="inlineStr">
        <is>
          <t>2025-11-19</t>
        </is>
      </c>
      <c r="I9" s="8" t="n">
        <v>34.04</v>
      </c>
      <c r="J9" s="9">
        <f>E9/C9-1</f>
        <v/>
      </c>
      <c r="K9" s="9">
        <f>G9/E9-1</f>
        <v/>
      </c>
      <c r="L9" s="9">
        <f>I9/E9-1</f>
        <v/>
      </c>
      <c r="M9" s="3" t="inlineStr">
        <is>
          <t>公告前已涨停，提前反应</t>
        </is>
      </c>
    </row>
    <row r="10">
      <c r="A10" s="3" t="inlineStr">
        <is>
          <t>金富科技</t>
        </is>
      </c>
      <c r="B10" s="3" t="inlineStr">
        <is>
          <t>2026-01-29</t>
        </is>
      </c>
      <c r="C10" s="8" t="n">
        <v>14.64</v>
      </c>
      <c r="D10" s="3" t="inlineStr">
        <is>
          <t>2026-02-05</t>
        </is>
      </c>
      <c r="E10" s="8" t="n">
        <v>15.53</v>
      </c>
      <c r="F10" s="3" t="inlineStr">
        <is>
          <t>2026-02-12</t>
        </is>
      </c>
      <c r="G10" s="8" t="n">
        <v>18.62</v>
      </c>
      <c r="H10" s="3" t="inlineStr">
        <is>
          <t>2026-02-11</t>
        </is>
      </c>
      <c r="I10" s="8" t="n">
        <v>19.58</v>
      </c>
      <c r="J10" s="9">
        <f>E10/C10-1</f>
        <v/>
      </c>
      <c r="K10" s="9">
        <f>G10/E10-1</f>
        <v/>
      </c>
      <c r="L10" s="9">
        <f>I10/E10-1</f>
        <v/>
      </c>
      <c r="M10" s="3" t="inlineStr">
        <is>
          <t>公告后3个涨停</t>
        </is>
      </c>
    </row>
    <row r="11">
      <c r="A11" s="3" t="inlineStr">
        <is>
          <t>华盛昌</t>
        </is>
      </c>
      <c r="B11" s="3" t="inlineStr">
        <is>
          <t>2026-02-12</t>
        </is>
      </c>
      <c r="C11" s="8" t="n">
        <v>24</v>
      </c>
      <c r="D11" s="3" t="inlineStr">
        <is>
          <t>2026-02-27</t>
        </is>
      </c>
      <c r="E11" s="8" t="n">
        <v>28.97</v>
      </c>
      <c r="F11" s="3" t="inlineStr">
        <is>
          <t>2026-03-06</t>
        </is>
      </c>
      <c r="G11" s="8" t="n">
        <v>34.4</v>
      </c>
      <c r="H11" s="3" t="inlineStr">
        <is>
          <t>2026-03-03</t>
        </is>
      </c>
      <c r="I11" s="8" t="n">
        <v>35.06</v>
      </c>
      <c r="J11" s="9">
        <f>E11/C11-1</f>
        <v/>
      </c>
      <c r="K11" s="9">
        <f>G11/E11-1</f>
        <v/>
      </c>
      <c r="L11" s="9">
        <f>I11/E11-1</f>
        <v/>
      </c>
      <c r="M11" s="3" t="inlineStr">
        <is>
          <t>公告前已涨停，提前反应</t>
        </is>
      </c>
    </row>
    <row r="12">
      <c r="A12" s="3" t="inlineStr">
        <is>
          <t>爱丽家居</t>
        </is>
      </c>
      <c r="B12" s="3" t="inlineStr">
        <is>
          <t>2026-07-13</t>
        </is>
      </c>
      <c r="C12" s="8" t="n">
        <v>11.76</v>
      </c>
      <c r="D12" s="3" t="inlineStr">
        <is>
          <t>2026-07-20</t>
        </is>
      </c>
      <c r="E12" s="8" t="n">
        <v>9.550000000000001</v>
      </c>
      <c r="F12" s="3" t="inlineStr">
        <is>
          <t>2026-07-27</t>
        </is>
      </c>
      <c r="G12" s="8" t="n">
        <v>15.38</v>
      </c>
      <c r="H12" s="3" t="inlineStr">
        <is>
          <t>2026-07-27</t>
        </is>
      </c>
      <c r="I12" s="8" t="n">
        <v>15.38</v>
      </c>
      <c r="J12" s="9">
        <f>E12/C12-1</f>
        <v/>
      </c>
      <c r="K12" s="9">
        <f>G12/E12-1</f>
        <v/>
      </c>
      <c r="L12" s="9">
        <f>I12/E12-1</f>
        <v/>
      </c>
      <c r="M12" s="3" t="inlineStr">
        <is>
          <t>公告后连续一字涨停</t>
        </is>
      </c>
    </row>
    <row r="13">
      <c r="A13" s="3" t="inlineStr">
        <is>
          <t>宗申动力</t>
        </is>
      </c>
      <c r="B13" s="3" t="inlineStr">
        <is>
          <t>2023-05-17</t>
        </is>
      </c>
      <c r="C13" s="8" t="n">
        <v>6.23</v>
      </c>
      <c r="D13" s="3" t="inlineStr">
        <is>
          <t>2023-05-24</t>
        </is>
      </c>
      <c r="E13" s="8" t="n">
        <v>6.18</v>
      </c>
      <c r="F13" s="3" t="inlineStr">
        <is>
          <t>2023-05-31</t>
        </is>
      </c>
      <c r="G13" s="8" t="n">
        <v>6.22</v>
      </c>
      <c r="H13" s="3" t="inlineStr">
        <is>
          <t>2023-05-26</t>
        </is>
      </c>
      <c r="I13" s="8" t="n">
        <v>6.25</v>
      </c>
      <c r="J13" s="9">
        <f>E13/C13-1</f>
        <v/>
      </c>
      <c r="K13" s="9">
        <f>G13/E13-1</f>
        <v/>
      </c>
      <c r="L13" s="9">
        <f>I13/E13-1</f>
        <v/>
      </c>
      <c r="M13" s="3" t="inlineStr">
        <is>
          <t>无明显反应（表二）</t>
        </is>
      </c>
    </row>
    <row r="14">
      <c r="A14" s="3" t="inlineStr">
        <is>
          <t>五洋自控</t>
        </is>
      </c>
      <c r="B14" s="3" t="inlineStr">
        <is>
          <t>2026-05-28</t>
        </is>
      </c>
      <c r="C14" s="8" t="n">
        <v>4.71</v>
      </c>
      <c r="D14" s="3" t="inlineStr">
        <is>
          <t>2026-06-04</t>
        </is>
      </c>
      <c r="E14" s="8" t="n">
        <v>5.65</v>
      </c>
      <c r="F14" s="3" t="inlineStr">
        <is>
          <t>2026-06-11</t>
        </is>
      </c>
      <c r="G14" s="8" t="n">
        <v>5.8</v>
      </c>
      <c r="H14" s="3" t="inlineStr">
        <is>
          <t>2026-06-08</t>
        </is>
      </c>
      <c r="I14" s="8" t="n">
        <v>6.35</v>
      </c>
      <c r="J14" s="9">
        <f>E14/C14-1</f>
        <v/>
      </c>
      <c r="K14" s="9">
        <f>G14/E14-1</f>
        <v/>
      </c>
      <c r="L14" s="9">
        <f>I14/E14-1</f>
        <v/>
      </c>
      <c r="M14" s="3" t="inlineStr">
        <is>
          <t>公告前已大涨（表二）</t>
        </is>
      </c>
    </row>
    <row r="15">
      <c r="A15" s="3" t="inlineStr">
        <is>
          <t>开普云</t>
        </is>
      </c>
      <c r="B15" s="3" t="inlineStr">
        <is>
          <t>2025-08-01</t>
        </is>
      </c>
      <c r="C15" s="8" t="n">
        <v>64.09999999999999</v>
      </c>
      <c r="D15" s="3" t="inlineStr">
        <is>
          <t>2025-08-08</t>
        </is>
      </c>
      <c r="E15" s="8" t="n">
        <v>65.8</v>
      </c>
      <c r="F15" s="3" t="inlineStr">
        <is>
          <t>2025-08-29</t>
        </is>
      </c>
      <c r="G15" s="8" t="n">
        <v>153.8</v>
      </c>
      <c r="H15" s="3" t="inlineStr">
        <is>
          <t>2025-08-29</t>
        </is>
      </c>
      <c r="I15" s="8" t="n">
        <v>153.8</v>
      </c>
      <c r="J15" s="9">
        <f>E15/C15-1</f>
        <v/>
      </c>
      <c r="K15" s="9">
        <f>G15/E15-1</f>
        <v/>
      </c>
      <c r="L15" s="9">
        <f>I15/E15-1</f>
        <v/>
      </c>
      <c r="M15" s="3" t="inlineStr">
        <is>
          <t>复牌后连续涨停，后终止（表二）</t>
        </is>
      </c>
    </row>
    <row r="17">
      <c r="A17" t="inlineStr">
        <is>
          <t>说明：基准日为首次公告（或停牌）前最后一个交易日；前推/后推第5个交易日均按实际交易日计，停牌日不计；5日内最高取基准日后5个交易日收盘价的最大值；价格为前复权收盘价（元）。</t>
        </is>
      </c>
    </row>
    <row r="18">
      <c r="A18" t="inlineStr">
        <is>
          <t>汇总：表一9单公告后一周8涨1跌，中位数+11.78%；公告前一周中位数+4.66%，和顺石油、华盛昌公告前已明显上涨。资料来源：Wind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2026-09-24T06:21:19Z</dcterms:created>
  <dcterms:modified xsi:type="dcterms:W3CDTF">2026-09-24T06:21:19Z</dcterms:modified>
</cp:coreProperties>
</file>