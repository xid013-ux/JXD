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凯伦股份" sheetId="2" state="visible" r:id="rId2"/>
    <sheet name="罗曼股份" sheetId="3" state="visible" r:id="rId3"/>
    <sheet name="通业科技" sheetId="4" state="visible" r:id="rId4"/>
    <sheet name="冠中生态" sheetId="5" state="visible" r:id="rId5"/>
    <sheet name="秦安股份" sheetId="6" state="visible" r:id="rId6"/>
    <sheet name="和顺石油" sheetId="7" state="visible" r:id="rId7"/>
    <sheet name="金富科技" sheetId="8" state="visible" r:id="rId8"/>
    <sheet name="华盛昌" sheetId="9" state="visible" r:id="rId9"/>
    <sheet name="爱丽家居" sheetId="10" state="visible" r:id="rId10"/>
    <sheet name="宗申动力" sheetId="11" state="visible" r:id="rId11"/>
    <sheet name="五洋自控" sheetId="12" state="visible" r:id="rId12"/>
    <sheet name="开普云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2" customWidth="1" min="4" max="4"/>
    <col width="12" customWidth="1" min="5" max="5"/>
    <col width="10" customWidth="1" min="6" max="6"/>
  </cols>
  <sheetData>
    <row r="1">
      <c r="A1" t="inlineStr">
        <is>
          <t>证券代码</t>
        </is>
      </c>
      <c r="B1" t="inlineStr">
        <is>
          <t>公司</t>
        </is>
      </c>
      <c r="C1" t="inlineStr">
        <is>
          <t>首次公告日（初步）</t>
        </is>
      </c>
      <c r="D1" t="inlineStr">
        <is>
          <t>取数起始日</t>
        </is>
      </c>
      <c r="E1" t="inlineStr">
        <is>
          <t>取数结束日</t>
        </is>
      </c>
      <c r="F1" t="inlineStr">
        <is>
          <t>工作表</t>
        </is>
      </c>
    </row>
    <row r="2">
      <c r="A2" t="inlineStr">
        <is>
          <t>300715.SZ</t>
        </is>
      </c>
      <c r="B2" t="inlineStr">
        <is>
          <t>凯伦股份</t>
        </is>
      </c>
      <c r="C2" t="inlineStr">
        <is>
          <t>2025-01-07</t>
        </is>
      </c>
      <c r="D2" t="inlineStr">
        <is>
          <t>2024-12-08</t>
        </is>
      </c>
      <c r="E2" t="inlineStr">
        <is>
          <t>2025-02-21</t>
        </is>
      </c>
      <c r="F2" t="inlineStr">
        <is>
          <t>凯伦股份</t>
        </is>
      </c>
    </row>
    <row r="3">
      <c r="A3" t="inlineStr">
        <is>
          <t>605289.SH</t>
        </is>
      </c>
      <c r="B3" t="inlineStr">
        <is>
          <t>罗曼股份</t>
        </is>
      </c>
      <c r="C3" t="inlineStr">
        <is>
          <t>2025-08-05</t>
        </is>
      </c>
      <c r="D3" t="inlineStr">
        <is>
          <t>2025-07-06</t>
        </is>
      </c>
      <c r="E3" t="inlineStr">
        <is>
          <t>2025-09-19</t>
        </is>
      </c>
      <c r="F3" t="inlineStr">
        <is>
          <t>罗曼股份</t>
        </is>
      </c>
    </row>
    <row r="4">
      <c r="A4" t="inlineStr">
        <is>
          <t>300960.SZ</t>
        </is>
      </c>
      <c r="B4" t="inlineStr">
        <is>
          <t>通业科技</t>
        </is>
      </c>
      <c r="C4" t="inlineStr">
        <is>
          <t>2025-08-18</t>
        </is>
      </c>
      <c r="D4" t="inlineStr">
        <is>
          <t>2025-07-19</t>
        </is>
      </c>
      <c r="E4" t="inlineStr">
        <is>
          <t>2025-10-02</t>
        </is>
      </c>
      <c r="F4" t="inlineStr">
        <is>
          <t>通业科技</t>
        </is>
      </c>
    </row>
    <row r="5">
      <c r="A5" t="inlineStr">
        <is>
          <t>300948.SZ</t>
        </is>
      </c>
      <c r="B5" t="inlineStr">
        <is>
          <t>冠中生态</t>
        </is>
      </c>
      <c r="C5" t="inlineStr">
        <is>
          <t>2025-09-28</t>
        </is>
      </c>
      <c r="D5" t="inlineStr">
        <is>
          <t>2025-08-29</t>
        </is>
      </c>
      <c r="E5" t="inlineStr">
        <is>
          <t>2025-11-12</t>
        </is>
      </c>
      <c r="F5" t="inlineStr">
        <is>
          <t>冠中生态</t>
        </is>
      </c>
    </row>
    <row r="6">
      <c r="A6" t="inlineStr">
        <is>
          <t>603758.SH</t>
        </is>
      </c>
      <c r="B6" t="inlineStr">
        <is>
          <t>秦安股份</t>
        </is>
      </c>
      <c r="C6" t="inlineStr">
        <is>
          <t>2025-11-12</t>
        </is>
      </c>
      <c r="D6" t="inlineStr">
        <is>
          <t>2025-10-13</t>
        </is>
      </c>
      <c r="E6" t="inlineStr">
        <is>
          <t>2025-12-27</t>
        </is>
      </c>
      <c r="F6" t="inlineStr">
        <is>
          <t>秦安股份</t>
        </is>
      </c>
    </row>
    <row r="7">
      <c r="A7" t="inlineStr">
        <is>
          <t>603353.SH</t>
        </is>
      </c>
      <c r="B7" t="inlineStr">
        <is>
          <t>和顺石油</t>
        </is>
      </c>
      <c r="C7" t="inlineStr">
        <is>
          <t>2025-11-17</t>
        </is>
      </c>
      <c r="D7" t="inlineStr">
        <is>
          <t>2025-10-18</t>
        </is>
      </c>
      <c r="E7" t="inlineStr">
        <is>
          <t>2026-01-01</t>
        </is>
      </c>
      <c r="F7" t="inlineStr">
        <is>
          <t>和顺石油</t>
        </is>
      </c>
    </row>
    <row r="8">
      <c r="A8" t="inlineStr">
        <is>
          <t>003018.SZ</t>
        </is>
      </c>
      <c r="B8" t="inlineStr">
        <is>
          <t>金富科技</t>
        </is>
      </c>
      <c r="C8" t="inlineStr">
        <is>
          <t>2026-02-05</t>
        </is>
      </c>
      <c r="D8" t="inlineStr">
        <is>
          <t>2026-01-06</t>
        </is>
      </c>
      <c r="E8" t="inlineStr">
        <is>
          <t>2026-03-22</t>
        </is>
      </c>
      <c r="F8" t="inlineStr">
        <is>
          <t>金富科技</t>
        </is>
      </c>
    </row>
    <row r="9">
      <c r="A9" t="inlineStr">
        <is>
          <t>002980.SZ</t>
        </is>
      </c>
      <c r="B9" t="inlineStr">
        <is>
          <t>华盛昌</t>
        </is>
      </c>
      <c r="C9" t="inlineStr">
        <is>
          <t>2026-02-27</t>
        </is>
      </c>
      <c r="D9" t="inlineStr">
        <is>
          <t>2026-01-28</t>
        </is>
      </c>
      <c r="E9" t="inlineStr">
        <is>
          <t>2026-04-13</t>
        </is>
      </c>
      <c r="F9" t="inlineStr">
        <is>
          <t>华盛昌</t>
        </is>
      </c>
    </row>
    <row r="10">
      <c r="A10" t="inlineStr">
        <is>
          <t>603221.SH</t>
        </is>
      </c>
      <c r="B10" t="inlineStr">
        <is>
          <t>爱丽家居</t>
        </is>
      </c>
      <c r="C10" t="inlineStr">
        <is>
          <t>2026-07-21</t>
        </is>
      </c>
      <c r="D10" t="inlineStr">
        <is>
          <t>2026-06-21</t>
        </is>
      </c>
      <c r="E10" t="inlineStr">
        <is>
          <t>2026-09-04</t>
        </is>
      </c>
      <c r="F10" t="inlineStr">
        <is>
          <t>爱丽家居</t>
        </is>
      </c>
    </row>
    <row r="11">
      <c r="A11" t="inlineStr">
        <is>
          <t>001696.SZ</t>
        </is>
      </c>
      <c r="B11" t="inlineStr">
        <is>
          <t>宗申动力</t>
        </is>
      </c>
      <c r="C11" t="inlineStr">
        <is>
          <t>2023-05-25</t>
        </is>
      </c>
      <c r="D11" t="inlineStr">
        <is>
          <t>2023-04-25</t>
        </is>
      </c>
      <c r="E11" t="inlineStr">
        <is>
          <t>2023-07-09</t>
        </is>
      </c>
      <c r="F11" t="inlineStr">
        <is>
          <t>宗申动力</t>
        </is>
      </c>
    </row>
    <row r="12">
      <c r="A12" t="inlineStr">
        <is>
          <t>300420.SZ</t>
        </is>
      </c>
      <c r="B12" t="inlineStr">
        <is>
          <t>五洋自控</t>
        </is>
      </c>
      <c r="C12" t="inlineStr">
        <is>
          <t>2026-06-04</t>
        </is>
      </c>
      <c r="D12" t="inlineStr">
        <is>
          <t>2026-05-05</t>
        </is>
      </c>
      <c r="E12" t="inlineStr">
        <is>
          <t>2026-07-19</t>
        </is>
      </c>
      <c r="F12" t="inlineStr">
        <is>
          <t>五洋自控</t>
        </is>
      </c>
    </row>
    <row r="13">
      <c r="A13" t="inlineStr">
        <is>
          <t>688228.SH</t>
        </is>
      </c>
      <c r="B13" t="inlineStr">
        <is>
          <t>开普云</t>
        </is>
      </c>
      <c r="C13" t="inlineStr">
        <is>
          <t>2025-08-25</t>
        </is>
      </c>
      <c r="D13" t="inlineStr">
        <is>
          <t>2025-07-26</t>
        </is>
      </c>
      <c r="E13" t="inlineStr">
        <is>
          <t>2025-10-09</t>
        </is>
      </c>
      <c r="F13" t="inlineStr">
        <is>
          <t>开普云</t>
        </is>
      </c>
    </row>
    <row r="15">
      <c r="A15" t="inlineStr">
        <is>
          <t>用法：用装了Wind Excel插件的电脑打开本文件，点插件的“刷新”（或Ctrl+Alt+F9），每个工作表A1的WSD公式会拉出前复权日收盘价；确认有数后保存发回即可，涨跌幅由我计算。</t>
        </is>
      </c>
    </row>
    <row r="16">
      <c r="A16" t="inlineStr">
        <is>
          <t>如某只股票在区间内停牌，停牌日不会出现在序列里，不影响计算。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>
        <f>WSD("300715.SZ","close,pct_chg,trade_status","2024-12-08","2025-02-21","PriceAdj=F")</f>
        <v/>
      </c>
      <c r="F1" s="1" t="inlineStr">
        <is>
          <t>凯伦股份 300715.SZ 首次公告日 2025-01-07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>
        <f>WSD("605289.SH","close,pct_chg,trade_status","2025-07-06","2025-09-19","PriceAdj=F")</f>
        <v/>
      </c>
      <c r="F1" s="1" t="inlineStr">
        <is>
          <t>罗曼股份 605289.SH 首次公告日 2025-08-05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>
        <f>WSD("300960.SZ","close,pct_chg,trade_status","2025-07-19","2025-10-02","PriceAdj=F")</f>
        <v/>
      </c>
      <c r="F1" s="1" t="inlineStr">
        <is>
          <t>通业科技 300960.SZ 首次公告日 2025-08-18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>
        <f>WSD("300948.SZ","close,pct_chg,trade_status","2025-08-29","2025-11-12","PriceAdj=F")</f>
        <v/>
      </c>
      <c r="F1" s="1" t="inlineStr">
        <is>
          <t>冠中生态 300948.SZ 首次公告日 2025-09-28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>
        <f>WSD("603758.SH","close,pct_chg,trade_status","2025-10-13","2025-12-27","PriceAdj=F")</f>
        <v/>
      </c>
      <c r="F1" s="1" t="inlineStr">
        <is>
          <t>秦安股份 603758.SH 首次公告日 2025-11-12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>
        <f>WSD("603353.SH","close,pct_chg,trade_status","2025-10-18","2026-01-01","PriceAdj=F")</f>
        <v/>
      </c>
      <c r="F1" s="1" t="inlineStr">
        <is>
          <t>和顺石油 603353.SH 首次公告日 2025-11-17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>
        <f>WSD("003018.SZ","close,pct_chg,trade_status","2026-01-06","2026-03-22","PriceAdj=F")</f>
        <v/>
      </c>
      <c r="F1" s="1" t="inlineStr">
        <is>
          <t>金富科技 003018.SZ 首次公告日 2026-02-05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>
        <f>WSD("002980.SZ","close,pct_chg,trade_status","2026-01-28","2026-04-13","PriceAdj=F")</f>
        <v/>
      </c>
      <c r="F1" s="1" t="inlineStr">
        <is>
          <t>华盛昌 002980.SZ 首次公告日 2026-02-27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>
        <f>WSD("603221.SH","close,pct_chg,trade_status","2026-06-21","2026-09-04","PriceAdj=F")</f>
        <v/>
      </c>
      <c r="F1" s="1" t="inlineStr">
        <is>
          <t>爱丽家居 603221.SH 首次公告日 2026-07-21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>
        <f>WSD("001696.SZ","close,pct_chg,trade_status","2023-04-25","2023-07-09","PriceAdj=F")</f>
        <v/>
      </c>
      <c r="F1" s="1" t="inlineStr">
        <is>
          <t>宗申动力 001696.SZ 首次公告日 2023-05-25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>
        <f>WSD("300420.SZ","close,pct_chg,trade_status","2026-05-05","2026-07-19","PriceAdj=F")</f>
        <v/>
      </c>
      <c r="F1" s="1" t="inlineStr">
        <is>
          <t>五洋自控 300420.SZ 首次公告日 2026-06-04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>
        <f>WSD("688228.SH","close,pct_chg,trade_status","2025-07-26","2025-10-09","PriceAdj=F")</f>
        <v/>
      </c>
      <c r="F1" s="1" t="inlineStr">
        <is>
          <t>开普云 688228.SH 首次公告日 2025-08-25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2026-09-24T04:36:39Z</dcterms:created>
  <dcterms:modified xsi:type="dcterms:W3CDTF">2026-09-24T04:36:39Z</dcterms:modified>
</cp:coreProperties>
</file>