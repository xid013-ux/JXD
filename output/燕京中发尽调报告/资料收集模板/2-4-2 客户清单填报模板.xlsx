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说明" sheetId="1" state="visible" r:id="rId1"/>
    <sheet xmlns:r="http://schemas.openxmlformats.org/officeDocument/2006/relationships" name="客户清单-燕京中发" sheetId="2" state="visible" r:id="rId2"/>
    <sheet xmlns:r="http://schemas.openxmlformats.org/officeDocument/2006/relationships" name="客户清单-中发邢台" sheetId="3" state="visible" r:id="rId3"/>
    <sheet xmlns:r="http://schemas.openxmlformats.org/officeDocument/2006/relationships" name="客户重合度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7F7F7F"/>
      <sz val="9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" fontId="6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left" vertical="center" wrapText="1"/>
    </xf>
    <xf numFmtId="2" fontId="8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left" vertical="center" wrapText="1"/>
    </xf>
    <xf numFmtId="10" fontId="3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4" fontId="2" fillId="6" borderId="1" pivotButton="0" quotePrefix="0" xfId="0"/>
    <xf numFmtId="10" fontId="2" fillId="6" borderId="1" pivotButton="0" quotePrefix="0" xfId="0"/>
    <xf numFmtId="0" fontId="2" fillId="7" borderId="1" pivotButton="0" quotePrefix="0" xfId="0"/>
    <xf numFmtId="0" fontId="2" fillId="6" borderId="1" pivotButton="0" quotePrefix="0" xfId="0"/>
    <xf numFmtId="0" fontId="2" fillId="2" borderId="0" pivotButton="0" quotePrefix="0" xfId="0"/>
    <xf numFmtId="0" fontId="0" fillId="2" borderId="0" pivotButton="0" quotePrefix="0" xfId="0"/>
    <xf numFmtId="4" fontId="9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8" customWidth="1" min="2" max="2"/>
  </cols>
  <sheetData>
    <row r="1" ht="28" customHeight="1">
      <c r="A1" s="1" t="inlineStr">
        <is>
          <t>燕京中发IPO项目  客户清单填报说明</t>
        </is>
      </c>
    </row>
    <row r="3" ht="30" customHeight="1">
      <c r="A3" s="2" t="inlineStr">
        <is>
          <t>对应清单编号</t>
        </is>
      </c>
      <c r="B3" s="3" t="inlineStr">
        <is>
          <t>2-4-2（北京燕京中发生物技术有限公司）、1-8-5（燕京中发生物技术（邢台）有限公司）</t>
        </is>
      </c>
    </row>
    <row r="4" ht="42" customHeight="1">
      <c r="A4" s="2" t="inlineStr">
        <is>
          <t>清单原文要求</t>
        </is>
      </c>
      <c r="B4" s="3" t="inlineStr">
        <is>
          <t>2-4-2：2024年、2025年、2026年1-6月各期至少前20名且占销售金额比例至少50%以上客户清单、金额、占比及回款情况的列表。
1-8-5：燕京中发生物技术（邢台）有限公司2024年、2025年、2026年1-6月各期前20大客户清单、前10大供应商清单。</t>
        </is>
      </c>
    </row>
    <row r="5" ht="30" customHeight="1">
      <c r="A5" s="2" t="inlineStr">
        <is>
          <t>填报范围</t>
        </is>
      </c>
      <c r="B5" s="3" t="inlineStr">
        <is>
          <t>两家主体分别填报，分别对应“客户清单-燕京中发”“客户清单-中发邢台”两个工作表；每家各填报三个期间。</t>
        </is>
      </c>
    </row>
    <row r="6" ht="87" customHeight="1">
      <c r="A6" s="2" t="inlineStr">
        <is>
          <t>填报口径</t>
        </is>
      </c>
      <c r="B6" s="3" t="inlineStr">
        <is>
          <t>1、销售金额为不含税口径，与当期利润表营业收入可勾稽；
2、客户名称须填写工商登记全称，与销售合同、发票开具名称一致，同一客户在各期须使用同一名称；
3、同一集团下的不同法人主体请分别列示，并在备注栏注明所属集团；
4、回款金额为含税口径，指本期实际收到的款项；
5、各期按销售金额由大到小排列。</t>
        </is>
      </c>
    </row>
    <row r="7" ht="30" customHeight="1">
      <c r="A7" s="2" t="inlineStr">
        <is>
          <t>必须达到的比例</t>
        </is>
      </c>
      <c r="B7" s="3" t="inlineStr">
        <is>
          <t>各期前列客户销售金额合计占当期营业收入的比例不得低于50%。若前20名合计未达50%，请在该期间区块下方继续插入行补充客户，直至“是否达到50%”显示“达标”。</t>
        </is>
      </c>
    </row>
    <row r="8" ht="57" customHeight="1">
      <c r="A8" s="2" t="inlineStr">
        <is>
          <t>单元格颜色</t>
        </is>
      </c>
      <c r="B8" s="3" t="inlineStr">
        <is>
          <t>黄色底纹：需公司填写；
灰色底纹：公式自动计算，请勿修改；
蓝色字体：已由项目组预填的既有数据（营业收入），请公司复核。</t>
        </is>
      </c>
    </row>
    <row r="9" ht="30" customHeight="1">
      <c r="A9" s="2" t="inlineStr">
        <is>
          <t>重点提示一</t>
        </is>
      </c>
      <c r="B9" s="3" t="inlineStr">
        <is>
          <t>第三方回款：如存在合同签订方、发票开具方与实际汇款方不一致的情形（例如由经销商的经营者、股东个人账户付款），务必在“是否存在第三方回款”栏选“是”，并填列付款方名称及金额。该事项为IPO审核重点核查事项。</t>
        </is>
      </c>
    </row>
    <row r="10" ht="30" customHeight="1">
      <c r="A10" s="2" t="inlineStr">
        <is>
          <t>重点提示二</t>
        </is>
      </c>
      <c r="B10" s="3" t="inlineStr">
        <is>
          <t>关联关系：请核查客户及其股东、实际控制人、主要经办人员，与发行人的股东、董事、监事、高级管理人员、员工及其近亲属之间是否存在持股、任职、亲属或其他关联关系，并在“关联关系说明”栏如实填列。公司拟实施经销商入股，该栏信息将直接影响相关论证。</t>
        </is>
      </c>
    </row>
    <row r="11" ht="30" customHeight="1">
      <c r="A11" s="2" t="inlineStr">
        <is>
          <t>重点提示三</t>
        </is>
      </c>
      <c r="B11" s="3" t="inlineStr">
        <is>
          <t>客户重合度：两家主体的客户清单填报完成后，项目组将据以分析客户重合情况，用于同业竞争事项的论证，因此两表的客户名称口径必须统一。</t>
        </is>
      </c>
    </row>
    <row r="12" ht="42" customHeight="1">
      <c r="A12" s="2" t="inlineStr">
        <is>
          <t>营业收入来源</t>
        </is>
      </c>
      <c r="B12" s="3" t="inlineStr">
        <is>
          <t>燕京中发：2024年212,656,418.65元、2025年434,358,616.85元、2026年1-6月208,146,233.34元，取自公司2024年度审计报告、2025年度财务报表及2026年6月30日利润表。
中发邢台：2024年5,163,572.58元、2025年100,430,167.78元、2026年1-6月29,375,817.27元，取自其2024及2025年度审计报告、2026年6月30日利润表。</t>
        </is>
      </c>
    </row>
    <row r="13" ht="30" customHeight="1">
      <c r="A13" s="2" t="inlineStr">
        <is>
          <t>反馈方式</t>
        </is>
      </c>
      <c r="B13" s="3" t="inlineStr">
        <is>
          <t>填报完成后请连同“2-4-3 上述客户的销售合同”一并反馈项目组。如某栏确无法提供，请填“无”或“不适用”并说明原因，不要留空。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4" customWidth="1" min="3" max="3"/>
    <col width="22" customWidth="1" min="4" max="4"/>
    <col width="13" customWidth="1" min="5" max="5"/>
    <col width="14" customWidth="1" min="6" max="6"/>
    <col width="14" customWidth="1" min="7" max="7"/>
    <col width="20" customWidth="1" min="8" max="8"/>
    <col width="13" customWidth="1" min="9" max="9"/>
    <col width="17" customWidth="1" min="10" max="10"/>
    <col width="14" customWidth="1" min="11" max="11"/>
    <col width="17" customWidth="1" min="12" max="12"/>
    <col width="16" customWidth="1" min="13" max="13"/>
    <col width="18" customWidth="1" min="14" max="14"/>
    <col width="12" customWidth="1" min="15" max="15"/>
    <col width="26" customWidth="1" min="16" max="16"/>
    <col width="14" customWidth="1" min="17" max="17"/>
    <col width="34" customWidth="1" min="18" max="18"/>
    <col width="18" customWidth="1" min="19" max="19"/>
  </cols>
  <sheetData>
    <row r="1" ht="24" customHeight="1">
      <c r="A1" s="4" t="inlineStr">
        <is>
          <t>北京燕京中发生物技术有限公司 主要客户清单</t>
        </is>
      </c>
    </row>
    <row r="2" ht="30" customHeight="1">
      <c r="A2" s="5" t="inlineStr">
        <is>
          <t>填报要求：各期至少填列前20名客户，且前列客户销售金额合计占当期营业收入比例不低于50%；如前20名合计未达50%，请继续向下补充至达标。黄色底纹单元格由公司填写，灰色底纹为公式，请勿修改。</t>
        </is>
      </c>
    </row>
    <row r="3" ht="18" customHeight="1">
      <c r="A3" s="6" t="inlineStr">
        <is>
          <t>当期营业收入（元）</t>
        </is>
      </c>
      <c r="B3" s="6" t="inlineStr">
        <is>
          <t>2024年度</t>
        </is>
      </c>
      <c r="C3" s="7" t="n">
        <v>212656418.65</v>
      </c>
      <c r="D3" s="6" t="inlineStr">
        <is>
          <t>2025年度</t>
        </is>
      </c>
      <c r="E3" s="7" t="n">
        <v>434358616.85</v>
      </c>
      <c r="F3" s="6" t="inlineStr">
        <is>
          <t>2026年1-6月</t>
        </is>
      </c>
      <c r="G3" s="7" t="n">
        <v>208146233.34</v>
      </c>
      <c r="H3" s="8" t="inlineStr">
        <is>
          <t>← 蓝色数字取自财务报表，如与账面不符请直接修改，占比公式将自动更新</t>
        </is>
      </c>
    </row>
    <row r="5" ht="42" customHeight="1">
      <c r="A5" s="9" t="inlineStr">
        <is>
          <t>期间</t>
        </is>
      </c>
      <c r="B5" s="9" t="inlineStr">
        <is>
          <t>序号</t>
        </is>
      </c>
      <c r="C5" s="9" t="inlineStr">
        <is>
          <t>客户名称（全称）</t>
        </is>
      </c>
      <c r="D5" s="9" t="inlineStr">
        <is>
          <t>统一社会信用代码</t>
        </is>
      </c>
      <c r="E5" s="9" t="inlineStr">
        <is>
          <t>客户类型</t>
        </is>
      </c>
      <c r="F5" s="9" t="inlineStr">
        <is>
          <t>销售模式</t>
        </is>
      </c>
      <c r="G5" s="9" t="inlineStr">
        <is>
          <t>经销区域</t>
        </is>
      </c>
      <c r="H5" s="9" t="inlineStr">
        <is>
          <t>主要销售产品</t>
        </is>
      </c>
      <c r="I5" s="9" t="inlineStr">
        <is>
          <t>合作起始时间</t>
        </is>
      </c>
      <c r="J5" s="9" t="inlineStr">
        <is>
          <t>本期销售金额
（不含税，元）</t>
        </is>
      </c>
      <c r="K5" s="9" t="inlineStr">
        <is>
          <t>占当期营业收入
比例（%）</t>
        </is>
      </c>
      <c r="L5" s="9" t="inlineStr">
        <is>
          <t>本期回款金额
（含税，元）</t>
        </is>
      </c>
      <c r="M5" s="9" t="inlineStr">
        <is>
          <t>期末应收账款
余额（元）</t>
        </is>
      </c>
      <c r="N5" s="9" t="inlineStr">
        <is>
          <t>期末合同负债
（预收）余额（元）</t>
        </is>
      </c>
      <c r="O5" s="9" t="inlineStr">
        <is>
          <t>是否存在
第三方回款</t>
        </is>
      </c>
      <c r="P5" s="9" t="inlineStr">
        <is>
          <t>第三方回款方名称及金额</t>
        </is>
      </c>
      <c r="Q5" s="9" t="inlineStr">
        <is>
          <t>是否关联方或存在
关联关系</t>
        </is>
      </c>
      <c r="R5" s="9" t="inlineStr">
        <is>
          <t>关联关系说明
（是否为股东、董监高、员工及其近亲属持股或任职）</t>
        </is>
      </c>
      <c r="S5" s="9" t="inlineStr">
        <is>
          <t>备注</t>
        </is>
      </c>
    </row>
    <row r="6">
      <c r="A6" s="10" t="inlineStr">
        <is>
          <t>2025年度</t>
        </is>
      </c>
      <c r="B6" s="10" t="n">
        <v>1</v>
      </c>
      <c r="C6" s="11" t="inlineStr">
        <is>
          <t>示例：××省××商贸有限公司</t>
        </is>
      </c>
      <c r="D6" s="11" t="inlineStr">
        <is>
          <t>91XXXXXXXXXXXXXXXX</t>
        </is>
      </c>
      <c r="E6" s="10" t="inlineStr">
        <is>
          <t>经销商</t>
        </is>
      </c>
      <c r="F6" s="10" t="inlineStr">
        <is>
          <t>买断经销</t>
        </is>
      </c>
      <c r="G6" s="11" t="inlineStr">
        <is>
          <t>华北区</t>
        </is>
      </c>
      <c r="H6" s="11" t="inlineStr">
        <is>
          <t>肠溶型纳豆胶囊、燕京纳福多肽</t>
        </is>
      </c>
      <c r="I6" s="10" t="inlineStr">
        <is>
          <t>2021-03</t>
        </is>
      </c>
      <c r="J6" s="12" t="n">
        <v>12345678.9</v>
      </c>
      <c r="K6" s="13" t="n"/>
      <c r="L6" s="12" t="n">
        <v>13950000</v>
      </c>
      <c r="M6" s="12" t="n">
        <v>0</v>
      </c>
      <c r="N6" s="12" t="n">
        <v>1200000</v>
      </c>
      <c r="O6" s="10" t="inlineStr">
        <is>
          <t>是</t>
        </is>
      </c>
      <c r="P6" s="11" t="inlineStr">
        <is>
          <t>××（自然人，系该经销商股东）付款 300,000.00 元</t>
        </is>
      </c>
      <c r="Q6" s="10" t="inlineStr">
        <is>
          <t>否</t>
        </is>
      </c>
      <c r="R6" s="11" t="inlineStr">
        <is>
          <t>无</t>
        </is>
      </c>
      <c r="S6" s="11" t="inlineStr">
        <is>
          <t>↑ 示例行，填报时请删除</t>
        </is>
      </c>
    </row>
    <row r="7">
      <c r="A7" s="6" t="inlineStr">
        <is>
          <t>2024年度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</row>
    <row r="8">
      <c r="A8" s="15" t="inlineStr">
        <is>
          <t>2024年度</t>
        </is>
      </c>
      <c r="B8" s="15" t="n">
        <v>1</v>
      </c>
      <c r="C8" s="16" t="n"/>
      <c r="D8" s="16" t="n"/>
      <c r="E8" s="17" t="n"/>
      <c r="F8" s="17" t="n"/>
      <c r="G8" s="16" t="n"/>
      <c r="H8" s="16" t="n"/>
      <c r="I8" s="17" t="n"/>
      <c r="J8" s="18" t="n"/>
      <c r="K8" s="19">
        <f>IF(J8="","",J8/$C$3)</f>
        <v/>
      </c>
      <c r="L8" s="18" t="n"/>
      <c r="M8" s="18" t="n"/>
      <c r="N8" s="18" t="n"/>
      <c r="O8" s="17" t="n"/>
      <c r="P8" s="16" t="n"/>
      <c r="Q8" s="17" t="n"/>
      <c r="R8" s="16" t="n"/>
      <c r="S8" s="16" t="n"/>
    </row>
    <row r="9">
      <c r="A9" s="15" t="inlineStr">
        <is>
          <t>2024年度</t>
        </is>
      </c>
      <c r="B9" s="15" t="n">
        <v>2</v>
      </c>
      <c r="C9" s="16" t="n"/>
      <c r="D9" s="16" t="n"/>
      <c r="E9" s="17" t="n"/>
      <c r="F9" s="17" t="n"/>
      <c r="G9" s="16" t="n"/>
      <c r="H9" s="16" t="n"/>
      <c r="I9" s="17" t="n"/>
      <c r="J9" s="18" t="n"/>
      <c r="K9" s="19">
        <f>IF(J9="","",J9/$C$3)</f>
        <v/>
      </c>
      <c r="L9" s="18" t="n"/>
      <c r="M9" s="18" t="n"/>
      <c r="N9" s="18" t="n"/>
      <c r="O9" s="17" t="n"/>
      <c r="P9" s="16" t="n"/>
      <c r="Q9" s="17" t="n"/>
      <c r="R9" s="16" t="n"/>
      <c r="S9" s="16" t="n"/>
    </row>
    <row r="10">
      <c r="A10" s="15" t="inlineStr">
        <is>
          <t>2024年度</t>
        </is>
      </c>
      <c r="B10" s="15" t="n">
        <v>3</v>
      </c>
      <c r="C10" s="16" t="n"/>
      <c r="D10" s="16" t="n"/>
      <c r="E10" s="17" t="n"/>
      <c r="F10" s="17" t="n"/>
      <c r="G10" s="16" t="n"/>
      <c r="H10" s="16" t="n"/>
      <c r="I10" s="17" t="n"/>
      <c r="J10" s="18" t="n"/>
      <c r="K10" s="19">
        <f>IF(J10="","",J10/$C$3)</f>
        <v/>
      </c>
      <c r="L10" s="18" t="n"/>
      <c r="M10" s="18" t="n"/>
      <c r="N10" s="18" t="n"/>
      <c r="O10" s="17" t="n"/>
      <c r="P10" s="16" t="n"/>
      <c r="Q10" s="17" t="n"/>
      <c r="R10" s="16" t="n"/>
      <c r="S10" s="16" t="n"/>
    </row>
    <row r="11">
      <c r="A11" s="15" t="inlineStr">
        <is>
          <t>2024年度</t>
        </is>
      </c>
      <c r="B11" s="15" t="n">
        <v>4</v>
      </c>
      <c r="C11" s="16" t="n"/>
      <c r="D11" s="16" t="n"/>
      <c r="E11" s="17" t="n"/>
      <c r="F11" s="17" t="n"/>
      <c r="G11" s="16" t="n"/>
      <c r="H11" s="16" t="n"/>
      <c r="I11" s="17" t="n"/>
      <c r="J11" s="18" t="n"/>
      <c r="K11" s="19">
        <f>IF(J11="","",J11/$C$3)</f>
        <v/>
      </c>
      <c r="L11" s="18" t="n"/>
      <c r="M11" s="18" t="n"/>
      <c r="N11" s="18" t="n"/>
      <c r="O11" s="17" t="n"/>
      <c r="P11" s="16" t="n"/>
      <c r="Q11" s="17" t="n"/>
      <c r="R11" s="16" t="n"/>
      <c r="S11" s="16" t="n"/>
    </row>
    <row r="12">
      <c r="A12" s="15" t="inlineStr">
        <is>
          <t>2024年度</t>
        </is>
      </c>
      <c r="B12" s="15" t="n">
        <v>5</v>
      </c>
      <c r="C12" s="16" t="n"/>
      <c r="D12" s="16" t="n"/>
      <c r="E12" s="17" t="n"/>
      <c r="F12" s="17" t="n"/>
      <c r="G12" s="16" t="n"/>
      <c r="H12" s="16" t="n"/>
      <c r="I12" s="17" t="n"/>
      <c r="J12" s="18" t="n"/>
      <c r="K12" s="19">
        <f>IF(J12="","",J12/$C$3)</f>
        <v/>
      </c>
      <c r="L12" s="18" t="n"/>
      <c r="M12" s="18" t="n"/>
      <c r="N12" s="18" t="n"/>
      <c r="O12" s="17" t="n"/>
      <c r="P12" s="16" t="n"/>
      <c r="Q12" s="17" t="n"/>
      <c r="R12" s="16" t="n"/>
      <c r="S12" s="16" t="n"/>
    </row>
    <row r="13">
      <c r="A13" s="15" t="inlineStr">
        <is>
          <t>2024年度</t>
        </is>
      </c>
      <c r="B13" s="15" t="n">
        <v>6</v>
      </c>
      <c r="C13" s="16" t="n"/>
      <c r="D13" s="16" t="n"/>
      <c r="E13" s="17" t="n"/>
      <c r="F13" s="17" t="n"/>
      <c r="G13" s="16" t="n"/>
      <c r="H13" s="16" t="n"/>
      <c r="I13" s="17" t="n"/>
      <c r="J13" s="18" t="n"/>
      <c r="K13" s="19">
        <f>IF(J13="","",J13/$C$3)</f>
        <v/>
      </c>
      <c r="L13" s="18" t="n"/>
      <c r="M13" s="18" t="n"/>
      <c r="N13" s="18" t="n"/>
      <c r="O13" s="17" t="n"/>
      <c r="P13" s="16" t="n"/>
      <c r="Q13" s="17" t="n"/>
      <c r="R13" s="16" t="n"/>
      <c r="S13" s="16" t="n"/>
    </row>
    <row r="14">
      <c r="A14" s="15" t="inlineStr">
        <is>
          <t>2024年度</t>
        </is>
      </c>
      <c r="B14" s="15" t="n">
        <v>7</v>
      </c>
      <c r="C14" s="16" t="n"/>
      <c r="D14" s="16" t="n"/>
      <c r="E14" s="17" t="n"/>
      <c r="F14" s="17" t="n"/>
      <c r="G14" s="16" t="n"/>
      <c r="H14" s="16" t="n"/>
      <c r="I14" s="17" t="n"/>
      <c r="J14" s="18" t="n"/>
      <c r="K14" s="19">
        <f>IF(J14="","",J14/$C$3)</f>
        <v/>
      </c>
      <c r="L14" s="18" t="n"/>
      <c r="M14" s="18" t="n"/>
      <c r="N14" s="18" t="n"/>
      <c r="O14" s="17" t="n"/>
      <c r="P14" s="16" t="n"/>
      <c r="Q14" s="17" t="n"/>
      <c r="R14" s="16" t="n"/>
      <c r="S14" s="16" t="n"/>
    </row>
    <row r="15">
      <c r="A15" s="15" t="inlineStr">
        <is>
          <t>2024年度</t>
        </is>
      </c>
      <c r="B15" s="15" t="n">
        <v>8</v>
      </c>
      <c r="C15" s="16" t="n"/>
      <c r="D15" s="16" t="n"/>
      <c r="E15" s="17" t="n"/>
      <c r="F15" s="17" t="n"/>
      <c r="G15" s="16" t="n"/>
      <c r="H15" s="16" t="n"/>
      <c r="I15" s="17" t="n"/>
      <c r="J15" s="18" t="n"/>
      <c r="K15" s="19">
        <f>IF(J15="","",J15/$C$3)</f>
        <v/>
      </c>
      <c r="L15" s="18" t="n"/>
      <c r="M15" s="18" t="n"/>
      <c r="N15" s="18" t="n"/>
      <c r="O15" s="17" t="n"/>
      <c r="P15" s="16" t="n"/>
      <c r="Q15" s="17" t="n"/>
      <c r="R15" s="16" t="n"/>
      <c r="S15" s="16" t="n"/>
    </row>
    <row r="16">
      <c r="A16" s="15" t="inlineStr">
        <is>
          <t>2024年度</t>
        </is>
      </c>
      <c r="B16" s="15" t="n">
        <v>9</v>
      </c>
      <c r="C16" s="16" t="n"/>
      <c r="D16" s="16" t="n"/>
      <c r="E16" s="17" t="n"/>
      <c r="F16" s="17" t="n"/>
      <c r="G16" s="16" t="n"/>
      <c r="H16" s="16" t="n"/>
      <c r="I16" s="17" t="n"/>
      <c r="J16" s="18" t="n"/>
      <c r="K16" s="19">
        <f>IF(J16="","",J16/$C$3)</f>
        <v/>
      </c>
      <c r="L16" s="18" t="n"/>
      <c r="M16" s="18" t="n"/>
      <c r="N16" s="18" t="n"/>
      <c r="O16" s="17" t="n"/>
      <c r="P16" s="16" t="n"/>
      <c r="Q16" s="17" t="n"/>
      <c r="R16" s="16" t="n"/>
      <c r="S16" s="16" t="n"/>
    </row>
    <row r="17">
      <c r="A17" s="15" t="inlineStr">
        <is>
          <t>2024年度</t>
        </is>
      </c>
      <c r="B17" s="15" t="n">
        <v>10</v>
      </c>
      <c r="C17" s="16" t="n"/>
      <c r="D17" s="16" t="n"/>
      <c r="E17" s="17" t="n"/>
      <c r="F17" s="17" t="n"/>
      <c r="G17" s="16" t="n"/>
      <c r="H17" s="16" t="n"/>
      <c r="I17" s="17" t="n"/>
      <c r="J17" s="18" t="n"/>
      <c r="K17" s="19">
        <f>IF(J17="","",J17/$C$3)</f>
        <v/>
      </c>
      <c r="L17" s="18" t="n"/>
      <c r="M17" s="18" t="n"/>
      <c r="N17" s="18" t="n"/>
      <c r="O17" s="17" t="n"/>
      <c r="P17" s="16" t="n"/>
      <c r="Q17" s="17" t="n"/>
      <c r="R17" s="16" t="n"/>
      <c r="S17" s="16" t="n"/>
    </row>
    <row r="18">
      <c r="A18" s="15" t="inlineStr">
        <is>
          <t>2024年度</t>
        </is>
      </c>
      <c r="B18" s="15" t="n">
        <v>11</v>
      </c>
      <c r="C18" s="16" t="n"/>
      <c r="D18" s="16" t="n"/>
      <c r="E18" s="17" t="n"/>
      <c r="F18" s="17" t="n"/>
      <c r="G18" s="16" t="n"/>
      <c r="H18" s="16" t="n"/>
      <c r="I18" s="17" t="n"/>
      <c r="J18" s="18" t="n"/>
      <c r="K18" s="19">
        <f>IF(J18="","",J18/$C$3)</f>
        <v/>
      </c>
      <c r="L18" s="18" t="n"/>
      <c r="M18" s="18" t="n"/>
      <c r="N18" s="18" t="n"/>
      <c r="O18" s="17" t="n"/>
      <c r="P18" s="16" t="n"/>
      <c r="Q18" s="17" t="n"/>
      <c r="R18" s="16" t="n"/>
      <c r="S18" s="16" t="n"/>
    </row>
    <row r="19">
      <c r="A19" s="15" t="inlineStr">
        <is>
          <t>2024年度</t>
        </is>
      </c>
      <c r="B19" s="15" t="n">
        <v>12</v>
      </c>
      <c r="C19" s="16" t="n"/>
      <c r="D19" s="16" t="n"/>
      <c r="E19" s="17" t="n"/>
      <c r="F19" s="17" t="n"/>
      <c r="G19" s="16" t="n"/>
      <c r="H19" s="16" t="n"/>
      <c r="I19" s="17" t="n"/>
      <c r="J19" s="18" t="n"/>
      <c r="K19" s="19">
        <f>IF(J19="","",J19/$C$3)</f>
        <v/>
      </c>
      <c r="L19" s="18" t="n"/>
      <c r="M19" s="18" t="n"/>
      <c r="N19" s="18" t="n"/>
      <c r="O19" s="17" t="n"/>
      <c r="P19" s="16" t="n"/>
      <c r="Q19" s="17" t="n"/>
      <c r="R19" s="16" t="n"/>
      <c r="S19" s="16" t="n"/>
    </row>
    <row r="20">
      <c r="A20" s="15" t="inlineStr">
        <is>
          <t>2024年度</t>
        </is>
      </c>
      <c r="B20" s="15" t="n">
        <v>13</v>
      </c>
      <c r="C20" s="16" t="n"/>
      <c r="D20" s="16" t="n"/>
      <c r="E20" s="17" t="n"/>
      <c r="F20" s="17" t="n"/>
      <c r="G20" s="16" t="n"/>
      <c r="H20" s="16" t="n"/>
      <c r="I20" s="17" t="n"/>
      <c r="J20" s="18" t="n"/>
      <c r="K20" s="19">
        <f>IF(J20="","",J20/$C$3)</f>
        <v/>
      </c>
      <c r="L20" s="18" t="n"/>
      <c r="M20" s="18" t="n"/>
      <c r="N20" s="18" t="n"/>
      <c r="O20" s="17" t="n"/>
      <c r="P20" s="16" t="n"/>
      <c r="Q20" s="17" t="n"/>
      <c r="R20" s="16" t="n"/>
      <c r="S20" s="16" t="n"/>
    </row>
    <row r="21">
      <c r="A21" s="15" t="inlineStr">
        <is>
          <t>2024年度</t>
        </is>
      </c>
      <c r="B21" s="15" t="n">
        <v>14</v>
      </c>
      <c r="C21" s="16" t="n"/>
      <c r="D21" s="16" t="n"/>
      <c r="E21" s="17" t="n"/>
      <c r="F21" s="17" t="n"/>
      <c r="G21" s="16" t="n"/>
      <c r="H21" s="16" t="n"/>
      <c r="I21" s="17" t="n"/>
      <c r="J21" s="18" t="n"/>
      <c r="K21" s="19">
        <f>IF(J21="","",J21/$C$3)</f>
        <v/>
      </c>
      <c r="L21" s="18" t="n"/>
      <c r="M21" s="18" t="n"/>
      <c r="N21" s="18" t="n"/>
      <c r="O21" s="17" t="n"/>
      <c r="P21" s="16" t="n"/>
      <c r="Q21" s="17" t="n"/>
      <c r="R21" s="16" t="n"/>
      <c r="S21" s="16" t="n"/>
    </row>
    <row r="22">
      <c r="A22" s="15" t="inlineStr">
        <is>
          <t>2024年度</t>
        </is>
      </c>
      <c r="B22" s="15" t="n">
        <v>15</v>
      </c>
      <c r="C22" s="16" t="n"/>
      <c r="D22" s="16" t="n"/>
      <c r="E22" s="17" t="n"/>
      <c r="F22" s="17" t="n"/>
      <c r="G22" s="16" t="n"/>
      <c r="H22" s="16" t="n"/>
      <c r="I22" s="17" t="n"/>
      <c r="J22" s="18" t="n"/>
      <c r="K22" s="19">
        <f>IF(J22="","",J22/$C$3)</f>
        <v/>
      </c>
      <c r="L22" s="18" t="n"/>
      <c r="M22" s="18" t="n"/>
      <c r="N22" s="18" t="n"/>
      <c r="O22" s="17" t="n"/>
      <c r="P22" s="16" t="n"/>
      <c r="Q22" s="17" t="n"/>
      <c r="R22" s="16" t="n"/>
      <c r="S22" s="16" t="n"/>
    </row>
    <row r="23">
      <c r="A23" s="15" t="inlineStr">
        <is>
          <t>2024年度</t>
        </is>
      </c>
      <c r="B23" s="15" t="n">
        <v>16</v>
      </c>
      <c r="C23" s="16" t="n"/>
      <c r="D23" s="16" t="n"/>
      <c r="E23" s="17" t="n"/>
      <c r="F23" s="17" t="n"/>
      <c r="G23" s="16" t="n"/>
      <c r="H23" s="16" t="n"/>
      <c r="I23" s="17" t="n"/>
      <c r="J23" s="18" t="n"/>
      <c r="K23" s="19">
        <f>IF(J23="","",J23/$C$3)</f>
        <v/>
      </c>
      <c r="L23" s="18" t="n"/>
      <c r="M23" s="18" t="n"/>
      <c r="N23" s="18" t="n"/>
      <c r="O23" s="17" t="n"/>
      <c r="P23" s="16" t="n"/>
      <c r="Q23" s="17" t="n"/>
      <c r="R23" s="16" t="n"/>
      <c r="S23" s="16" t="n"/>
    </row>
    <row r="24">
      <c r="A24" s="15" t="inlineStr">
        <is>
          <t>2024年度</t>
        </is>
      </c>
      <c r="B24" s="15" t="n">
        <v>17</v>
      </c>
      <c r="C24" s="16" t="n"/>
      <c r="D24" s="16" t="n"/>
      <c r="E24" s="17" t="n"/>
      <c r="F24" s="17" t="n"/>
      <c r="G24" s="16" t="n"/>
      <c r="H24" s="16" t="n"/>
      <c r="I24" s="17" t="n"/>
      <c r="J24" s="18" t="n"/>
      <c r="K24" s="19">
        <f>IF(J24="","",J24/$C$3)</f>
        <v/>
      </c>
      <c r="L24" s="18" t="n"/>
      <c r="M24" s="18" t="n"/>
      <c r="N24" s="18" t="n"/>
      <c r="O24" s="17" t="n"/>
      <c r="P24" s="16" t="n"/>
      <c r="Q24" s="17" t="n"/>
      <c r="R24" s="16" t="n"/>
      <c r="S24" s="16" t="n"/>
    </row>
    <row r="25">
      <c r="A25" s="15" t="inlineStr">
        <is>
          <t>2024年度</t>
        </is>
      </c>
      <c r="B25" s="15" t="n">
        <v>18</v>
      </c>
      <c r="C25" s="16" t="n"/>
      <c r="D25" s="16" t="n"/>
      <c r="E25" s="17" t="n"/>
      <c r="F25" s="17" t="n"/>
      <c r="G25" s="16" t="n"/>
      <c r="H25" s="16" t="n"/>
      <c r="I25" s="17" t="n"/>
      <c r="J25" s="18" t="n"/>
      <c r="K25" s="19">
        <f>IF(J25="","",J25/$C$3)</f>
        <v/>
      </c>
      <c r="L25" s="18" t="n"/>
      <c r="M25" s="18" t="n"/>
      <c r="N25" s="18" t="n"/>
      <c r="O25" s="17" t="n"/>
      <c r="P25" s="16" t="n"/>
      <c r="Q25" s="17" t="n"/>
      <c r="R25" s="16" t="n"/>
      <c r="S25" s="16" t="n"/>
    </row>
    <row r="26">
      <c r="A26" s="15" t="inlineStr">
        <is>
          <t>2024年度</t>
        </is>
      </c>
      <c r="B26" s="15" t="n">
        <v>19</v>
      </c>
      <c r="C26" s="16" t="n"/>
      <c r="D26" s="16" t="n"/>
      <c r="E26" s="17" t="n"/>
      <c r="F26" s="17" t="n"/>
      <c r="G26" s="16" t="n"/>
      <c r="H26" s="16" t="n"/>
      <c r="I26" s="17" t="n"/>
      <c r="J26" s="18" t="n"/>
      <c r="K26" s="19">
        <f>IF(J26="","",J26/$C$3)</f>
        <v/>
      </c>
      <c r="L26" s="18" t="n"/>
      <c r="M26" s="18" t="n"/>
      <c r="N26" s="18" t="n"/>
      <c r="O26" s="17" t="n"/>
      <c r="P26" s="16" t="n"/>
      <c r="Q26" s="17" t="n"/>
      <c r="R26" s="16" t="n"/>
      <c r="S26" s="16" t="n"/>
    </row>
    <row r="27">
      <c r="A27" s="15" t="inlineStr">
        <is>
          <t>2024年度</t>
        </is>
      </c>
      <c r="B27" s="15" t="n">
        <v>20</v>
      </c>
      <c r="C27" s="16" t="n"/>
      <c r="D27" s="16" t="n"/>
      <c r="E27" s="17" t="n"/>
      <c r="F27" s="17" t="n"/>
      <c r="G27" s="16" t="n"/>
      <c r="H27" s="16" t="n"/>
      <c r="I27" s="17" t="n"/>
      <c r="J27" s="18" t="n"/>
      <c r="K27" s="19">
        <f>IF(J27="","",J27/$C$3)</f>
        <v/>
      </c>
      <c r="L27" s="18" t="n"/>
      <c r="M27" s="18" t="n"/>
      <c r="N27" s="18" t="n"/>
      <c r="O27" s="17" t="n"/>
      <c r="P27" s="16" t="n"/>
      <c r="Q27" s="17" t="n"/>
      <c r="R27" s="16" t="n"/>
      <c r="S27" s="16" t="n"/>
    </row>
    <row r="28">
      <c r="A28" s="20" t="inlineStr">
        <is>
          <t>2024年度</t>
        </is>
      </c>
      <c r="B28" s="21" t="n"/>
      <c r="C28" s="20" t="inlineStr">
        <is>
          <t>前20名合计</t>
        </is>
      </c>
      <c r="D28" s="21" t="n"/>
      <c r="E28" s="21" t="n"/>
      <c r="F28" s="21" t="n"/>
      <c r="G28" s="21" t="n"/>
      <c r="H28" s="21" t="n"/>
      <c r="I28" s="21" t="n"/>
      <c r="J28" s="22">
        <f>SUM(J8:J27)</f>
        <v/>
      </c>
      <c r="K28" s="23">
        <f>IF(J28="","",J28/$C$3)</f>
        <v/>
      </c>
      <c r="L28" s="22">
        <f>SUM(L8:L27)</f>
        <v/>
      </c>
      <c r="M28" s="22">
        <f>SUM(M8:M27)</f>
        <v/>
      </c>
      <c r="N28" s="22">
        <f>SUM(N8:N27)</f>
        <v/>
      </c>
      <c r="O28" s="24" t="inlineStr">
        <is>
          <t>是否达到50%</t>
        </is>
      </c>
      <c r="P28" s="25">
        <f>IF(J28=0,"未填",IF(K28&gt;=0.5,"达标","未达标，请补充客户"))</f>
        <v/>
      </c>
      <c r="Q28" s="21" t="n"/>
      <c r="R28" s="21" t="n"/>
      <c r="S28" s="21" t="n"/>
    </row>
    <row r="30">
      <c r="A30" s="6" t="inlineStr">
        <is>
          <t>2025年度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</row>
    <row r="31">
      <c r="A31" s="15" t="inlineStr">
        <is>
          <t>2025年度</t>
        </is>
      </c>
      <c r="B31" s="15" t="n">
        <v>1</v>
      </c>
      <c r="C31" s="16" t="n"/>
      <c r="D31" s="16" t="n"/>
      <c r="E31" s="17" t="n"/>
      <c r="F31" s="17" t="n"/>
      <c r="G31" s="16" t="n"/>
      <c r="H31" s="16" t="n"/>
      <c r="I31" s="17" t="n"/>
      <c r="J31" s="18" t="n"/>
      <c r="K31" s="19">
        <f>IF(J31="","",J31/$E$3)</f>
        <v/>
      </c>
      <c r="L31" s="18" t="n"/>
      <c r="M31" s="18" t="n"/>
      <c r="N31" s="18" t="n"/>
      <c r="O31" s="17" t="n"/>
      <c r="P31" s="16" t="n"/>
      <c r="Q31" s="17" t="n"/>
      <c r="R31" s="16" t="n"/>
      <c r="S31" s="16" t="n"/>
    </row>
    <row r="32">
      <c r="A32" s="15" t="inlineStr">
        <is>
          <t>2025年度</t>
        </is>
      </c>
      <c r="B32" s="15" t="n">
        <v>2</v>
      </c>
      <c r="C32" s="16" t="n"/>
      <c r="D32" s="16" t="n"/>
      <c r="E32" s="17" t="n"/>
      <c r="F32" s="17" t="n"/>
      <c r="G32" s="16" t="n"/>
      <c r="H32" s="16" t="n"/>
      <c r="I32" s="17" t="n"/>
      <c r="J32" s="18" t="n"/>
      <c r="K32" s="19">
        <f>IF(J32="","",J32/$E$3)</f>
        <v/>
      </c>
      <c r="L32" s="18" t="n"/>
      <c r="M32" s="18" t="n"/>
      <c r="N32" s="18" t="n"/>
      <c r="O32" s="17" t="n"/>
      <c r="P32" s="16" t="n"/>
      <c r="Q32" s="17" t="n"/>
      <c r="R32" s="16" t="n"/>
      <c r="S32" s="16" t="n"/>
    </row>
    <row r="33">
      <c r="A33" s="15" t="inlineStr">
        <is>
          <t>2025年度</t>
        </is>
      </c>
      <c r="B33" s="15" t="n">
        <v>3</v>
      </c>
      <c r="C33" s="16" t="n"/>
      <c r="D33" s="16" t="n"/>
      <c r="E33" s="17" t="n"/>
      <c r="F33" s="17" t="n"/>
      <c r="G33" s="16" t="n"/>
      <c r="H33" s="16" t="n"/>
      <c r="I33" s="17" t="n"/>
      <c r="J33" s="18" t="n"/>
      <c r="K33" s="19">
        <f>IF(J33="","",J33/$E$3)</f>
        <v/>
      </c>
      <c r="L33" s="18" t="n"/>
      <c r="M33" s="18" t="n"/>
      <c r="N33" s="18" t="n"/>
      <c r="O33" s="17" t="n"/>
      <c r="P33" s="16" t="n"/>
      <c r="Q33" s="17" t="n"/>
      <c r="R33" s="16" t="n"/>
      <c r="S33" s="16" t="n"/>
    </row>
    <row r="34">
      <c r="A34" s="15" t="inlineStr">
        <is>
          <t>2025年度</t>
        </is>
      </c>
      <c r="B34" s="15" t="n">
        <v>4</v>
      </c>
      <c r="C34" s="16" t="n"/>
      <c r="D34" s="16" t="n"/>
      <c r="E34" s="17" t="n"/>
      <c r="F34" s="17" t="n"/>
      <c r="G34" s="16" t="n"/>
      <c r="H34" s="16" t="n"/>
      <c r="I34" s="17" t="n"/>
      <c r="J34" s="18" t="n"/>
      <c r="K34" s="19">
        <f>IF(J34="","",J34/$E$3)</f>
        <v/>
      </c>
      <c r="L34" s="18" t="n"/>
      <c r="M34" s="18" t="n"/>
      <c r="N34" s="18" t="n"/>
      <c r="O34" s="17" t="n"/>
      <c r="P34" s="16" t="n"/>
      <c r="Q34" s="17" t="n"/>
      <c r="R34" s="16" t="n"/>
      <c r="S34" s="16" t="n"/>
    </row>
    <row r="35">
      <c r="A35" s="15" t="inlineStr">
        <is>
          <t>2025年度</t>
        </is>
      </c>
      <c r="B35" s="15" t="n">
        <v>5</v>
      </c>
      <c r="C35" s="16" t="n"/>
      <c r="D35" s="16" t="n"/>
      <c r="E35" s="17" t="n"/>
      <c r="F35" s="17" t="n"/>
      <c r="G35" s="16" t="n"/>
      <c r="H35" s="16" t="n"/>
      <c r="I35" s="17" t="n"/>
      <c r="J35" s="18" t="n"/>
      <c r="K35" s="19">
        <f>IF(J35="","",J35/$E$3)</f>
        <v/>
      </c>
      <c r="L35" s="18" t="n"/>
      <c r="M35" s="18" t="n"/>
      <c r="N35" s="18" t="n"/>
      <c r="O35" s="17" t="n"/>
      <c r="P35" s="16" t="n"/>
      <c r="Q35" s="17" t="n"/>
      <c r="R35" s="16" t="n"/>
      <c r="S35" s="16" t="n"/>
    </row>
    <row r="36">
      <c r="A36" s="15" t="inlineStr">
        <is>
          <t>2025年度</t>
        </is>
      </c>
      <c r="B36" s="15" t="n">
        <v>6</v>
      </c>
      <c r="C36" s="16" t="n"/>
      <c r="D36" s="16" t="n"/>
      <c r="E36" s="17" t="n"/>
      <c r="F36" s="17" t="n"/>
      <c r="G36" s="16" t="n"/>
      <c r="H36" s="16" t="n"/>
      <c r="I36" s="17" t="n"/>
      <c r="J36" s="18" t="n"/>
      <c r="K36" s="19">
        <f>IF(J36="","",J36/$E$3)</f>
        <v/>
      </c>
      <c r="L36" s="18" t="n"/>
      <c r="M36" s="18" t="n"/>
      <c r="N36" s="18" t="n"/>
      <c r="O36" s="17" t="n"/>
      <c r="P36" s="16" t="n"/>
      <c r="Q36" s="17" t="n"/>
      <c r="R36" s="16" t="n"/>
      <c r="S36" s="16" t="n"/>
    </row>
    <row r="37">
      <c r="A37" s="15" t="inlineStr">
        <is>
          <t>2025年度</t>
        </is>
      </c>
      <c r="B37" s="15" t="n">
        <v>7</v>
      </c>
      <c r="C37" s="16" t="n"/>
      <c r="D37" s="16" t="n"/>
      <c r="E37" s="17" t="n"/>
      <c r="F37" s="17" t="n"/>
      <c r="G37" s="16" t="n"/>
      <c r="H37" s="16" t="n"/>
      <c r="I37" s="17" t="n"/>
      <c r="J37" s="18" t="n"/>
      <c r="K37" s="19">
        <f>IF(J37="","",J37/$E$3)</f>
        <v/>
      </c>
      <c r="L37" s="18" t="n"/>
      <c r="M37" s="18" t="n"/>
      <c r="N37" s="18" t="n"/>
      <c r="O37" s="17" t="n"/>
      <c r="P37" s="16" t="n"/>
      <c r="Q37" s="17" t="n"/>
      <c r="R37" s="16" t="n"/>
      <c r="S37" s="16" t="n"/>
    </row>
    <row r="38">
      <c r="A38" s="15" t="inlineStr">
        <is>
          <t>2025年度</t>
        </is>
      </c>
      <c r="B38" s="15" t="n">
        <v>8</v>
      </c>
      <c r="C38" s="16" t="n"/>
      <c r="D38" s="16" t="n"/>
      <c r="E38" s="17" t="n"/>
      <c r="F38" s="17" t="n"/>
      <c r="G38" s="16" t="n"/>
      <c r="H38" s="16" t="n"/>
      <c r="I38" s="17" t="n"/>
      <c r="J38" s="18" t="n"/>
      <c r="K38" s="19">
        <f>IF(J38="","",J38/$E$3)</f>
        <v/>
      </c>
      <c r="L38" s="18" t="n"/>
      <c r="M38" s="18" t="n"/>
      <c r="N38" s="18" t="n"/>
      <c r="O38" s="17" t="n"/>
      <c r="P38" s="16" t="n"/>
      <c r="Q38" s="17" t="n"/>
      <c r="R38" s="16" t="n"/>
      <c r="S38" s="16" t="n"/>
    </row>
    <row r="39">
      <c r="A39" s="15" t="inlineStr">
        <is>
          <t>2025年度</t>
        </is>
      </c>
      <c r="B39" s="15" t="n">
        <v>9</v>
      </c>
      <c r="C39" s="16" t="n"/>
      <c r="D39" s="16" t="n"/>
      <c r="E39" s="17" t="n"/>
      <c r="F39" s="17" t="n"/>
      <c r="G39" s="16" t="n"/>
      <c r="H39" s="16" t="n"/>
      <c r="I39" s="17" t="n"/>
      <c r="J39" s="18" t="n"/>
      <c r="K39" s="19">
        <f>IF(J39="","",J39/$E$3)</f>
        <v/>
      </c>
      <c r="L39" s="18" t="n"/>
      <c r="M39" s="18" t="n"/>
      <c r="N39" s="18" t="n"/>
      <c r="O39" s="17" t="n"/>
      <c r="P39" s="16" t="n"/>
      <c r="Q39" s="17" t="n"/>
      <c r="R39" s="16" t="n"/>
      <c r="S39" s="16" t="n"/>
    </row>
    <row r="40">
      <c r="A40" s="15" t="inlineStr">
        <is>
          <t>2025年度</t>
        </is>
      </c>
      <c r="B40" s="15" t="n">
        <v>10</v>
      </c>
      <c r="C40" s="16" t="n"/>
      <c r="D40" s="16" t="n"/>
      <c r="E40" s="17" t="n"/>
      <c r="F40" s="17" t="n"/>
      <c r="G40" s="16" t="n"/>
      <c r="H40" s="16" t="n"/>
      <c r="I40" s="17" t="n"/>
      <c r="J40" s="18" t="n"/>
      <c r="K40" s="19">
        <f>IF(J40="","",J40/$E$3)</f>
        <v/>
      </c>
      <c r="L40" s="18" t="n"/>
      <c r="M40" s="18" t="n"/>
      <c r="N40" s="18" t="n"/>
      <c r="O40" s="17" t="n"/>
      <c r="P40" s="16" t="n"/>
      <c r="Q40" s="17" t="n"/>
      <c r="R40" s="16" t="n"/>
      <c r="S40" s="16" t="n"/>
    </row>
    <row r="41">
      <c r="A41" s="15" t="inlineStr">
        <is>
          <t>2025年度</t>
        </is>
      </c>
      <c r="B41" s="15" t="n">
        <v>11</v>
      </c>
      <c r="C41" s="16" t="n"/>
      <c r="D41" s="16" t="n"/>
      <c r="E41" s="17" t="n"/>
      <c r="F41" s="17" t="n"/>
      <c r="G41" s="16" t="n"/>
      <c r="H41" s="16" t="n"/>
      <c r="I41" s="17" t="n"/>
      <c r="J41" s="18" t="n"/>
      <c r="K41" s="19">
        <f>IF(J41="","",J41/$E$3)</f>
        <v/>
      </c>
      <c r="L41" s="18" t="n"/>
      <c r="M41" s="18" t="n"/>
      <c r="N41" s="18" t="n"/>
      <c r="O41" s="17" t="n"/>
      <c r="P41" s="16" t="n"/>
      <c r="Q41" s="17" t="n"/>
      <c r="R41" s="16" t="n"/>
      <c r="S41" s="16" t="n"/>
    </row>
    <row r="42">
      <c r="A42" s="15" t="inlineStr">
        <is>
          <t>2025年度</t>
        </is>
      </c>
      <c r="B42" s="15" t="n">
        <v>12</v>
      </c>
      <c r="C42" s="16" t="n"/>
      <c r="D42" s="16" t="n"/>
      <c r="E42" s="17" t="n"/>
      <c r="F42" s="17" t="n"/>
      <c r="G42" s="16" t="n"/>
      <c r="H42" s="16" t="n"/>
      <c r="I42" s="17" t="n"/>
      <c r="J42" s="18" t="n"/>
      <c r="K42" s="19">
        <f>IF(J42="","",J42/$E$3)</f>
        <v/>
      </c>
      <c r="L42" s="18" t="n"/>
      <c r="M42" s="18" t="n"/>
      <c r="N42" s="18" t="n"/>
      <c r="O42" s="17" t="n"/>
      <c r="P42" s="16" t="n"/>
      <c r="Q42" s="17" t="n"/>
      <c r="R42" s="16" t="n"/>
      <c r="S42" s="16" t="n"/>
    </row>
    <row r="43">
      <c r="A43" s="15" t="inlineStr">
        <is>
          <t>2025年度</t>
        </is>
      </c>
      <c r="B43" s="15" t="n">
        <v>13</v>
      </c>
      <c r="C43" s="16" t="n"/>
      <c r="D43" s="16" t="n"/>
      <c r="E43" s="17" t="n"/>
      <c r="F43" s="17" t="n"/>
      <c r="G43" s="16" t="n"/>
      <c r="H43" s="16" t="n"/>
      <c r="I43" s="17" t="n"/>
      <c r="J43" s="18" t="n"/>
      <c r="K43" s="19">
        <f>IF(J43="","",J43/$E$3)</f>
        <v/>
      </c>
      <c r="L43" s="18" t="n"/>
      <c r="M43" s="18" t="n"/>
      <c r="N43" s="18" t="n"/>
      <c r="O43" s="17" t="n"/>
      <c r="P43" s="16" t="n"/>
      <c r="Q43" s="17" t="n"/>
      <c r="R43" s="16" t="n"/>
      <c r="S43" s="16" t="n"/>
    </row>
    <row r="44">
      <c r="A44" s="15" t="inlineStr">
        <is>
          <t>2025年度</t>
        </is>
      </c>
      <c r="B44" s="15" t="n">
        <v>14</v>
      </c>
      <c r="C44" s="16" t="n"/>
      <c r="D44" s="16" t="n"/>
      <c r="E44" s="17" t="n"/>
      <c r="F44" s="17" t="n"/>
      <c r="G44" s="16" t="n"/>
      <c r="H44" s="16" t="n"/>
      <c r="I44" s="17" t="n"/>
      <c r="J44" s="18" t="n"/>
      <c r="K44" s="19">
        <f>IF(J44="","",J44/$E$3)</f>
        <v/>
      </c>
      <c r="L44" s="18" t="n"/>
      <c r="M44" s="18" t="n"/>
      <c r="N44" s="18" t="n"/>
      <c r="O44" s="17" t="n"/>
      <c r="P44" s="16" t="n"/>
      <c r="Q44" s="17" t="n"/>
      <c r="R44" s="16" t="n"/>
      <c r="S44" s="16" t="n"/>
    </row>
    <row r="45">
      <c r="A45" s="15" t="inlineStr">
        <is>
          <t>2025年度</t>
        </is>
      </c>
      <c r="B45" s="15" t="n">
        <v>15</v>
      </c>
      <c r="C45" s="16" t="n"/>
      <c r="D45" s="16" t="n"/>
      <c r="E45" s="17" t="n"/>
      <c r="F45" s="17" t="n"/>
      <c r="G45" s="16" t="n"/>
      <c r="H45" s="16" t="n"/>
      <c r="I45" s="17" t="n"/>
      <c r="J45" s="18" t="n"/>
      <c r="K45" s="19">
        <f>IF(J45="","",J45/$E$3)</f>
        <v/>
      </c>
      <c r="L45" s="18" t="n"/>
      <c r="M45" s="18" t="n"/>
      <c r="N45" s="18" t="n"/>
      <c r="O45" s="17" t="n"/>
      <c r="P45" s="16" t="n"/>
      <c r="Q45" s="17" t="n"/>
      <c r="R45" s="16" t="n"/>
      <c r="S45" s="16" t="n"/>
    </row>
    <row r="46">
      <c r="A46" s="15" t="inlineStr">
        <is>
          <t>2025年度</t>
        </is>
      </c>
      <c r="B46" s="15" t="n">
        <v>16</v>
      </c>
      <c r="C46" s="16" t="n"/>
      <c r="D46" s="16" t="n"/>
      <c r="E46" s="17" t="n"/>
      <c r="F46" s="17" t="n"/>
      <c r="G46" s="16" t="n"/>
      <c r="H46" s="16" t="n"/>
      <c r="I46" s="17" t="n"/>
      <c r="J46" s="18" t="n"/>
      <c r="K46" s="19">
        <f>IF(J46="","",J46/$E$3)</f>
        <v/>
      </c>
      <c r="L46" s="18" t="n"/>
      <c r="M46" s="18" t="n"/>
      <c r="N46" s="18" t="n"/>
      <c r="O46" s="17" t="n"/>
      <c r="P46" s="16" t="n"/>
      <c r="Q46" s="17" t="n"/>
      <c r="R46" s="16" t="n"/>
      <c r="S46" s="16" t="n"/>
    </row>
    <row r="47">
      <c r="A47" s="15" t="inlineStr">
        <is>
          <t>2025年度</t>
        </is>
      </c>
      <c r="B47" s="15" t="n">
        <v>17</v>
      </c>
      <c r="C47" s="16" t="n"/>
      <c r="D47" s="16" t="n"/>
      <c r="E47" s="17" t="n"/>
      <c r="F47" s="17" t="n"/>
      <c r="G47" s="16" t="n"/>
      <c r="H47" s="16" t="n"/>
      <c r="I47" s="17" t="n"/>
      <c r="J47" s="18" t="n"/>
      <c r="K47" s="19">
        <f>IF(J47="","",J47/$E$3)</f>
        <v/>
      </c>
      <c r="L47" s="18" t="n"/>
      <c r="M47" s="18" t="n"/>
      <c r="N47" s="18" t="n"/>
      <c r="O47" s="17" t="n"/>
      <c r="P47" s="16" t="n"/>
      <c r="Q47" s="17" t="n"/>
      <c r="R47" s="16" t="n"/>
      <c r="S47" s="16" t="n"/>
    </row>
    <row r="48">
      <c r="A48" s="15" t="inlineStr">
        <is>
          <t>2025年度</t>
        </is>
      </c>
      <c r="B48" s="15" t="n">
        <v>18</v>
      </c>
      <c r="C48" s="16" t="n"/>
      <c r="D48" s="16" t="n"/>
      <c r="E48" s="17" t="n"/>
      <c r="F48" s="17" t="n"/>
      <c r="G48" s="16" t="n"/>
      <c r="H48" s="16" t="n"/>
      <c r="I48" s="17" t="n"/>
      <c r="J48" s="18" t="n"/>
      <c r="K48" s="19">
        <f>IF(J48="","",J48/$E$3)</f>
        <v/>
      </c>
      <c r="L48" s="18" t="n"/>
      <c r="M48" s="18" t="n"/>
      <c r="N48" s="18" t="n"/>
      <c r="O48" s="17" t="n"/>
      <c r="P48" s="16" t="n"/>
      <c r="Q48" s="17" t="n"/>
      <c r="R48" s="16" t="n"/>
      <c r="S48" s="16" t="n"/>
    </row>
    <row r="49">
      <c r="A49" s="15" t="inlineStr">
        <is>
          <t>2025年度</t>
        </is>
      </c>
      <c r="B49" s="15" t="n">
        <v>19</v>
      </c>
      <c r="C49" s="16" t="n"/>
      <c r="D49" s="16" t="n"/>
      <c r="E49" s="17" t="n"/>
      <c r="F49" s="17" t="n"/>
      <c r="G49" s="16" t="n"/>
      <c r="H49" s="16" t="n"/>
      <c r="I49" s="17" t="n"/>
      <c r="J49" s="18" t="n"/>
      <c r="K49" s="19">
        <f>IF(J49="","",J49/$E$3)</f>
        <v/>
      </c>
      <c r="L49" s="18" t="n"/>
      <c r="M49" s="18" t="n"/>
      <c r="N49" s="18" t="n"/>
      <c r="O49" s="17" t="n"/>
      <c r="P49" s="16" t="n"/>
      <c r="Q49" s="17" t="n"/>
      <c r="R49" s="16" t="n"/>
      <c r="S49" s="16" t="n"/>
    </row>
    <row r="50">
      <c r="A50" s="15" t="inlineStr">
        <is>
          <t>2025年度</t>
        </is>
      </c>
      <c r="B50" s="15" t="n">
        <v>20</v>
      </c>
      <c r="C50" s="16" t="n"/>
      <c r="D50" s="16" t="n"/>
      <c r="E50" s="17" t="n"/>
      <c r="F50" s="17" t="n"/>
      <c r="G50" s="16" t="n"/>
      <c r="H50" s="16" t="n"/>
      <c r="I50" s="17" t="n"/>
      <c r="J50" s="18" t="n"/>
      <c r="K50" s="19">
        <f>IF(J50="","",J50/$E$3)</f>
        <v/>
      </c>
      <c r="L50" s="18" t="n"/>
      <c r="M50" s="18" t="n"/>
      <c r="N50" s="18" t="n"/>
      <c r="O50" s="17" t="n"/>
      <c r="P50" s="16" t="n"/>
      <c r="Q50" s="17" t="n"/>
      <c r="R50" s="16" t="n"/>
      <c r="S50" s="16" t="n"/>
    </row>
    <row r="51">
      <c r="A51" s="20" t="inlineStr">
        <is>
          <t>2025年度</t>
        </is>
      </c>
      <c r="B51" s="21" t="n"/>
      <c r="C51" s="20" t="inlineStr">
        <is>
          <t>前20名合计</t>
        </is>
      </c>
      <c r="D51" s="21" t="n"/>
      <c r="E51" s="21" t="n"/>
      <c r="F51" s="21" t="n"/>
      <c r="G51" s="21" t="n"/>
      <c r="H51" s="21" t="n"/>
      <c r="I51" s="21" t="n"/>
      <c r="J51" s="22">
        <f>SUM(J31:J50)</f>
        <v/>
      </c>
      <c r="K51" s="23">
        <f>IF(J51="","",J51/$E$3)</f>
        <v/>
      </c>
      <c r="L51" s="22">
        <f>SUM(L31:L50)</f>
        <v/>
      </c>
      <c r="M51" s="22">
        <f>SUM(M31:M50)</f>
        <v/>
      </c>
      <c r="N51" s="22">
        <f>SUM(N31:N50)</f>
        <v/>
      </c>
      <c r="O51" s="24" t="inlineStr">
        <is>
          <t>是否达到50%</t>
        </is>
      </c>
      <c r="P51" s="25">
        <f>IF(J51=0,"未填",IF(K51&gt;=0.5,"达标","未达标，请补充客户"))</f>
        <v/>
      </c>
      <c r="Q51" s="21" t="n"/>
      <c r="R51" s="21" t="n"/>
      <c r="S51" s="21" t="n"/>
    </row>
    <row r="53">
      <c r="A53" s="6" t="inlineStr">
        <is>
          <t>2026年1-6月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15" t="inlineStr">
        <is>
          <t>2026年1-6月</t>
        </is>
      </c>
      <c r="B54" s="15" t="n">
        <v>1</v>
      </c>
      <c r="C54" s="16" t="n"/>
      <c r="D54" s="16" t="n"/>
      <c r="E54" s="17" t="n"/>
      <c r="F54" s="17" t="n"/>
      <c r="G54" s="16" t="n"/>
      <c r="H54" s="16" t="n"/>
      <c r="I54" s="17" t="n"/>
      <c r="J54" s="18" t="n"/>
      <c r="K54" s="19">
        <f>IF(J54="","",J54/$G$3)</f>
        <v/>
      </c>
      <c r="L54" s="18" t="n"/>
      <c r="M54" s="18" t="n"/>
      <c r="N54" s="18" t="n"/>
      <c r="O54" s="17" t="n"/>
      <c r="P54" s="16" t="n"/>
      <c r="Q54" s="17" t="n"/>
      <c r="R54" s="16" t="n"/>
      <c r="S54" s="16" t="n"/>
    </row>
    <row r="55">
      <c r="A55" s="15" t="inlineStr">
        <is>
          <t>2026年1-6月</t>
        </is>
      </c>
      <c r="B55" s="15" t="n">
        <v>2</v>
      </c>
      <c r="C55" s="16" t="n"/>
      <c r="D55" s="16" t="n"/>
      <c r="E55" s="17" t="n"/>
      <c r="F55" s="17" t="n"/>
      <c r="G55" s="16" t="n"/>
      <c r="H55" s="16" t="n"/>
      <c r="I55" s="17" t="n"/>
      <c r="J55" s="18" t="n"/>
      <c r="K55" s="19">
        <f>IF(J55="","",J55/$G$3)</f>
        <v/>
      </c>
      <c r="L55" s="18" t="n"/>
      <c r="M55" s="18" t="n"/>
      <c r="N55" s="18" t="n"/>
      <c r="O55" s="17" t="n"/>
      <c r="P55" s="16" t="n"/>
      <c r="Q55" s="17" t="n"/>
      <c r="R55" s="16" t="n"/>
      <c r="S55" s="16" t="n"/>
    </row>
    <row r="56">
      <c r="A56" s="15" t="inlineStr">
        <is>
          <t>2026年1-6月</t>
        </is>
      </c>
      <c r="B56" s="15" t="n">
        <v>3</v>
      </c>
      <c r="C56" s="16" t="n"/>
      <c r="D56" s="16" t="n"/>
      <c r="E56" s="17" t="n"/>
      <c r="F56" s="17" t="n"/>
      <c r="G56" s="16" t="n"/>
      <c r="H56" s="16" t="n"/>
      <c r="I56" s="17" t="n"/>
      <c r="J56" s="18" t="n"/>
      <c r="K56" s="19">
        <f>IF(J56="","",J56/$G$3)</f>
        <v/>
      </c>
      <c r="L56" s="18" t="n"/>
      <c r="M56" s="18" t="n"/>
      <c r="N56" s="18" t="n"/>
      <c r="O56" s="17" t="n"/>
      <c r="P56" s="16" t="n"/>
      <c r="Q56" s="17" t="n"/>
      <c r="R56" s="16" t="n"/>
      <c r="S56" s="16" t="n"/>
    </row>
    <row r="57">
      <c r="A57" s="15" t="inlineStr">
        <is>
          <t>2026年1-6月</t>
        </is>
      </c>
      <c r="B57" s="15" t="n">
        <v>4</v>
      </c>
      <c r="C57" s="16" t="n"/>
      <c r="D57" s="16" t="n"/>
      <c r="E57" s="17" t="n"/>
      <c r="F57" s="17" t="n"/>
      <c r="G57" s="16" t="n"/>
      <c r="H57" s="16" t="n"/>
      <c r="I57" s="17" t="n"/>
      <c r="J57" s="18" t="n"/>
      <c r="K57" s="19">
        <f>IF(J57="","",J57/$G$3)</f>
        <v/>
      </c>
      <c r="L57" s="18" t="n"/>
      <c r="M57" s="18" t="n"/>
      <c r="N57" s="18" t="n"/>
      <c r="O57" s="17" t="n"/>
      <c r="P57" s="16" t="n"/>
      <c r="Q57" s="17" t="n"/>
      <c r="R57" s="16" t="n"/>
      <c r="S57" s="16" t="n"/>
    </row>
    <row r="58">
      <c r="A58" s="15" t="inlineStr">
        <is>
          <t>2026年1-6月</t>
        </is>
      </c>
      <c r="B58" s="15" t="n">
        <v>5</v>
      </c>
      <c r="C58" s="16" t="n"/>
      <c r="D58" s="16" t="n"/>
      <c r="E58" s="17" t="n"/>
      <c r="F58" s="17" t="n"/>
      <c r="G58" s="16" t="n"/>
      <c r="H58" s="16" t="n"/>
      <c r="I58" s="17" t="n"/>
      <c r="J58" s="18" t="n"/>
      <c r="K58" s="19">
        <f>IF(J58="","",J58/$G$3)</f>
        <v/>
      </c>
      <c r="L58" s="18" t="n"/>
      <c r="M58" s="18" t="n"/>
      <c r="N58" s="18" t="n"/>
      <c r="O58" s="17" t="n"/>
      <c r="P58" s="16" t="n"/>
      <c r="Q58" s="17" t="n"/>
      <c r="R58" s="16" t="n"/>
      <c r="S58" s="16" t="n"/>
    </row>
    <row r="59">
      <c r="A59" s="15" t="inlineStr">
        <is>
          <t>2026年1-6月</t>
        </is>
      </c>
      <c r="B59" s="15" t="n">
        <v>6</v>
      </c>
      <c r="C59" s="16" t="n"/>
      <c r="D59" s="16" t="n"/>
      <c r="E59" s="17" t="n"/>
      <c r="F59" s="17" t="n"/>
      <c r="G59" s="16" t="n"/>
      <c r="H59" s="16" t="n"/>
      <c r="I59" s="17" t="n"/>
      <c r="J59" s="18" t="n"/>
      <c r="K59" s="19">
        <f>IF(J59="","",J59/$G$3)</f>
        <v/>
      </c>
      <c r="L59" s="18" t="n"/>
      <c r="M59" s="18" t="n"/>
      <c r="N59" s="18" t="n"/>
      <c r="O59" s="17" t="n"/>
      <c r="P59" s="16" t="n"/>
      <c r="Q59" s="17" t="n"/>
      <c r="R59" s="16" t="n"/>
      <c r="S59" s="16" t="n"/>
    </row>
    <row r="60">
      <c r="A60" s="15" t="inlineStr">
        <is>
          <t>2026年1-6月</t>
        </is>
      </c>
      <c r="B60" s="15" t="n">
        <v>7</v>
      </c>
      <c r="C60" s="16" t="n"/>
      <c r="D60" s="16" t="n"/>
      <c r="E60" s="17" t="n"/>
      <c r="F60" s="17" t="n"/>
      <c r="G60" s="16" t="n"/>
      <c r="H60" s="16" t="n"/>
      <c r="I60" s="17" t="n"/>
      <c r="J60" s="18" t="n"/>
      <c r="K60" s="19">
        <f>IF(J60="","",J60/$G$3)</f>
        <v/>
      </c>
      <c r="L60" s="18" t="n"/>
      <c r="M60" s="18" t="n"/>
      <c r="N60" s="18" t="n"/>
      <c r="O60" s="17" t="n"/>
      <c r="P60" s="16" t="n"/>
      <c r="Q60" s="17" t="n"/>
      <c r="R60" s="16" t="n"/>
      <c r="S60" s="16" t="n"/>
    </row>
    <row r="61">
      <c r="A61" s="15" t="inlineStr">
        <is>
          <t>2026年1-6月</t>
        </is>
      </c>
      <c r="B61" s="15" t="n">
        <v>8</v>
      </c>
      <c r="C61" s="16" t="n"/>
      <c r="D61" s="16" t="n"/>
      <c r="E61" s="17" t="n"/>
      <c r="F61" s="17" t="n"/>
      <c r="G61" s="16" t="n"/>
      <c r="H61" s="16" t="n"/>
      <c r="I61" s="17" t="n"/>
      <c r="J61" s="18" t="n"/>
      <c r="K61" s="19">
        <f>IF(J61="","",J61/$G$3)</f>
        <v/>
      </c>
      <c r="L61" s="18" t="n"/>
      <c r="M61" s="18" t="n"/>
      <c r="N61" s="18" t="n"/>
      <c r="O61" s="17" t="n"/>
      <c r="P61" s="16" t="n"/>
      <c r="Q61" s="17" t="n"/>
      <c r="R61" s="16" t="n"/>
      <c r="S61" s="16" t="n"/>
    </row>
    <row r="62">
      <c r="A62" s="15" t="inlineStr">
        <is>
          <t>2026年1-6月</t>
        </is>
      </c>
      <c r="B62" s="15" t="n">
        <v>9</v>
      </c>
      <c r="C62" s="16" t="n"/>
      <c r="D62" s="16" t="n"/>
      <c r="E62" s="17" t="n"/>
      <c r="F62" s="17" t="n"/>
      <c r="G62" s="16" t="n"/>
      <c r="H62" s="16" t="n"/>
      <c r="I62" s="17" t="n"/>
      <c r="J62" s="18" t="n"/>
      <c r="K62" s="19">
        <f>IF(J62="","",J62/$G$3)</f>
        <v/>
      </c>
      <c r="L62" s="18" t="n"/>
      <c r="M62" s="18" t="n"/>
      <c r="N62" s="18" t="n"/>
      <c r="O62" s="17" t="n"/>
      <c r="P62" s="16" t="n"/>
      <c r="Q62" s="17" t="n"/>
      <c r="R62" s="16" t="n"/>
      <c r="S62" s="16" t="n"/>
    </row>
    <row r="63">
      <c r="A63" s="15" t="inlineStr">
        <is>
          <t>2026年1-6月</t>
        </is>
      </c>
      <c r="B63" s="15" t="n">
        <v>10</v>
      </c>
      <c r="C63" s="16" t="n"/>
      <c r="D63" s="16" t="n"/>
      <c r="E63" s="17" t="n"/>
      <c r="F63" s="17" t="n"/>
      <c r="G63" s="16" t="n"/>
      <c r="H63" s="16" t="n"/>
      <c r="I63" s="17" t="n"/>
      <c r="J63" s="18" t="n"/>
      <c r="K63" s="19">
        <f>IF(J63="","",J63/$G$3)</f>
        <v/>
      </c>
      <c r="L63" s="18" t="n"/>
      <c r="M63" s="18" t="n"/>
      <c r="N63" s="18" t="n"/>
      <c r="O63" s="17" t="n"/>
      <c r="P63" s="16" t="n"/>
      <c r="Q63" s="17" t="n"/>
      <c r="R63" s="16" t="n"/>
      <c r="S63" s="16" t="n"/>
    </row>
    <row r="64">
      <c r="A64" s="15" t="inlineStr">
        <is>
          <t>2026年1-6月</t>
        </is>
      </c>
      <c r="B64" s="15" t="n">
        <v>11</v>
      </c>
      <c r="C64" s="16" t="n"/>
      <c r="D64" s="16" t="n"/>
      <c r="E64" s="17" t="n"/>
      <c r="F64" s="17" t="n"/>
      <c r="G64" s="16" t="n"/>
      <c r="H64" s="16" t="n"/>
      <c r="I64" s="17" t="n"/>
      <c r="J64" s="18" t="n"/>
      <c r="K64" s="19">
        <f>IF(J64="","",J64/$G$3)</f>
        <v/>
      </c>
      <c r="L64" s="18" t="n"/>
      <c r="M64" s="18" t="n"/>
      <c r="N64" s="18" t="n"/>
      <c r="O64" s="17" t="n"/>
      <c r="P64" s="16" t="n"/>
      <c r="Q64" s="17" t="n"/>
      <c r="R64" s="16" t="n"/>
      <c r="S64" s="16" t="n"/>
    </row>
    <row r="65">
      <c r="A65" s="15" t="inlineStr">
        <is>
          <t>2026年1-6月</t>
        </is>
      </c>
      <c r="B65" s="15" t="n">
        <v>12</v>
      </c>
      <c r="C65" s="16" t="n"/>
      <c r="D65" s="16" t="n"/>
      <c r="E65" s="17" t="n"/>
      <c r="F65" s="17" t="n"/>
      <c r="G65" s="16" t="n"/>
      <c r="H65" s="16" t="n"/>
      <c r="I65" s="17" t="n"/>
      <c r="J65" s="18" t="n"/>
      <c r="K65" s="19">
        <f>IF(J65="","",J65/$G$3)</f>
        <v/>
      </c>
      <c r="L65" s="18" t="n"/>
      <c r="M65" s="18" t="n"/>
      <c r="N65" s="18" t="n"/>
      <c r="O65" s="17" t="n"/>
      <c r="P65" s="16" t="n"/>
      <c r="Q65" s="17" t="n"/>
      <c r="R65" s="16" t="n"/>
      <c r="S65" s="16" t="n"/>
    </row>
    <row r="66">
      <c r="A66" s="15" t="inlineStr">
        <is>
          <t>2026年1-6月</t>
        </is>
      </c>
      <c r="B66" s="15" t="n">
        <v>13</v>
      </c>
      <c r="C66" s="16" t="n"/>
      <c r="D66" s="16" t="n"/>
      <c r="E66" s="17" t="n"/>
      <c r="F66" s="17" t="n"/>
      <c r="G66" s="16" t="n"/>
      <c r="H66" s="16" t="n"/>
      <c r="I66" s="17" t="n"/>
      <c r="J66" s="18" t="n"/>
      <c r="K66" s="19">
        <f>IF(J66="","",J66/$G$3)</f>
        <v/>
      </c>
      <c r="L66" s="18" t="n"/>
      <c r="M66" s="18" t="n"/>
      <c r="N66" s="18" t="n"/>
      <c r="O66" s="17" t="n"/>
      <c r="P66" s="16" t="n"/>
      <c r="Q66" s="17" t="n"/>
      <c r="R66" s="16" t="n"/>
      <c r="S66" s="16" t="n"/>
    </row>
    <row r="67">
      <c r="A67" s="15" t="inlineStr">
        <is>
          <t>2026年1-6月</t>
        </is>
      </c>
      <c r="B67" s="15" t="n">
        <v>14</v>
      </c>
      <c r="C67" s="16" t="n"/>
      <c r="D67" s="16" t="n"/>
      <c r="E67" s="17" t="n"/>
      <c r="F67" s="17" t="n"/>
      <c r="G67" s="16" t="n"/>
      <c r="H67" s="16" t="n"/>
      <c r="I67" s="17" t="n"/>
      <c r="J67" s="18" t="n"/>
      <c r="K67" s="19">
        <f>IF(J67="","",J67/$G$3)</f>
        <v/>
      </c>
      <c r="L67" s="18" t="n"/>
      <c r="M67" s="18" t="n"/>
      <c r="N67" s="18" t="n"/>
      <c r="O67" s="17" t="n"/>
      <c r="P67" s="16" t="n"/>
      <c r="Q67" s="17" t="n"/>
      <c r="R67" s="16" t="n"/>
      <c r="S67" s="16" t="n"/>
    </row>
    <row r="68">
      <c r="A68" s="15" t="inlineStr">
        <is>
          <t>2026年1-6月</t>
        </is>
      </c>
      <c r="B68" s="15" t="n">
        <v>15</v>
      </c>
      <c r="C68" s="16" t="n"/>
      <c r="D68" s="16" t="n"/>
      <c r="E68" s="17" t="n"/>
      <c r="F68" s="17" t="n"/>
      <c r="G68" s="16" t="n"/>
      <c r="H68" s="16" t="n"/>
      <c r="I68" s="17" t="n"/>
      <c r="J68" s="18" t="n"/>
      <c r="K68" s="19">
        <f>IF(J68="","",J68/$G$3)</f>
        <v/>
      </c>
      <c r="L68" s="18" t="n"/>
      <c r="M68" s="18" t="n"/>
      <c r="N68" s="18" t="n"/>
      <c r="O68" s="17" t="n"/>
      <c r="P68" s="16" t="n"/>
      <c r="Q68" s="17" t="n"/>
      <c r="R68" s="16" t="n"/>
      <c r="S68" s="16" t="n"/>
    </row>
    <row r="69">
      <c r="A69" s="15" t="inlineStr">
        <is>
          <t>2026年1-6月</t>
        </is>
      </c>
      <c r="B69" s="15" t="n">
        <v>16</v>
      </c>
      <c r="C69" s="16" t="n"/>
      <c r="D69" s="16" t="n"/>
      <c r="E69" s="17" t="n"/>
      <c r="F69" s="17" t="n"/>
      <c r="G69" s="16" t="n"/>
      <c r="H69" s="16" t="n"/>
      <c r="I69" s="17" t="n"/>
      <c r="J69" s="18" t="n"/>
      <c r="K69" s="19">
        <f>IF(J69="","",J69/$G$3)</f>
        <v/>
      </c>
      <c r="L69" s="18" t="n"/>
      <c r="M69" s="18" t="n"/>
      <c r="N69" s="18" t="n"/>
      <c r="O69" s="17" t="n"/>
      <c r="P69" s="16" t="n"/>
      <c r="Q69" s="17" t="n"/>
      <c r="R69" s="16" t="n"/>
      <c r="S69" s="16" t="n"/>
    </row>
    <row r="70">
      <c r="A70" s="15" t="inlineStr">
        <is>
          <t>2026年1-6月</t>
        </is>
      </c>
      <c r="B70" s="15" t="n">
        <v>17</v>
      </c>
      <c r="C70" s="16" t="n"/>
      <c r="D70" s="16" t="n"/>
      <c r="E70" s="17" t="n"/>
      <c r="F70" s="17" t="n"/>
      <c r="G70" s="16" t="n"/>
      <c r="H70" s="16" t="n"/>
      <c r="I70" s="17" t="n"/>
      <c r="J70" s="18" t="n"/>
      <c r="K70" s="19">
        <f>IF(J70="","",J70/$G$3)</f>
        <v/>
      </c>
      <c r="L70" s="18" t="n"/>
      <c r="M70" s="18" t="n"/>
      <c r="N70" s="18" t="n"/>
      <c r="O70" s="17" t="n"/>
      <c r="P70" s="16" t="n"/>
      <c r="Q70" s="17" t="n"/>
      <c r="R70" s="16" t="n"/>
      <c r="S70" s="16" t="n"/>
    </row>
    <row r="71">
      <c r="A71" s="15" t="inlineStr">
        <is>
          <t>2026年1-6月</t>
        </is>
      </c>
      <c r="B71" s="15" t="n">
        <v>18</v>
      </c>
      <c r="C71" s="16" t="n"/>
      <c r="D71" s="16" t="n"/>
      <c r="E71" s="17" t="n"/>
      <c r="F71" s="17" t="n"/>
      <c r="G71" s="16" t="n"/>
      <c r="H71" s="16" t="n"/>
      <c r="I71" s="17" t="n"/>
      <c r="J71" s="18" t="n"/>
      <c r="K71" s="19">
        <f>IF(J71="","",J71/$G$3)</f>
        <v/>
      </c>
      <c r="L71" s="18" t="n"/>
      <c r="M71" s="18" t="n"/>
      <c r="N71" s="18" t="n"/>
      <c r="O71" s="17" t="n"/>
      <c r="P71" s="16" t="n"/>
      <c r="Q71" s="17" t="n"/>
      <c r="R71" s="16" t="n"/>
      <c r="S71" s="16" t="n"/>
    </row>
    <row r="72">
      <c r="A72" s="15" t="inlineStr">
        <is>
          <t>2026年1-6月</t>
        </is>
      </c>
      <c r="B72" s="15" t="n">
        <v>19</v>
      </c>
      <c r="C72" s="16" t="n"/>
      <c r="D72" s="16" t="n"/>
      <c r="E72" s="17" t="n"/>
      <c r="F72" s="17" t="n"/>
      <c r="G72" s="16" t="n"/>
      <c r="H72" s="16" t="n"/>
      <c r="I72" s="17" t="n"/>
      <c r="J72" s="18" t="n"/>
      <c r="K72" s="19">
        <f>IF(J72="","",J72/$G$3)</f>
        <v/>
      </c>
      <c r="L72" s="18" t="n"/>
      <c r="M72" s="18" t="n"/>
      <c r="N72" s="18" t="n"/>
      <c r="O72" s="17" t="n"/>
      <c r="P72" s="16" t="n"/>
      <c r="Q72" s="17" t="n"/>
      <c r="R72" s="16" t="n"/>
      <c r="S72" s="16" t="n"/>
    </row>
    <row r="73">
      <c r="A73" s="15" t="inlineStr">
        <is>
          <t>2026年1-6月</t>
        </is>
      </c>
      <c r="B73" s="15" t="n">
        <v>20</v>
      </c>
      <c r="C73" s="16" t="n"/>
      <c r="D73" s="16" t="n"/>
      <c r="E73" s="17" t="n"/>
      <c r="F73" s="17" t="n"/>
      <c r="G73" s="16" t="n"/>
      <c r="H73" s="16" t="n"/>
      <c r="I73" s="17" t="n"/>
      <c r="J73" s="18" t="n"/>
      <c r="K73" s="19">
        <f>IF(J73="","",J73/$G$3)</f>
        <v/>
      </c>
      <c r="L73" s="18" t="n"/>
      <c r="M73" s="18" t="n"/>
      <c r="N73" s="18" t="n"/>
      <c r="O73" s="17" t="n"/>
      <c r="P73" s="16" t="n"/>
      <c r="Q73" s="17" t="n"/>
      <c r="R73" s="16" t="n"/>
      <c r="S73" s="16" t="n"/>
    </row>
    <row r="74">
      <c r="A74" s="20" t="inlineStr">
        <is>
          <t>2026年1-6月</t>
        </is>
      </c>
      <c r="B74" s="21" t="n"/>
      <c r="C74" s="20" t="inlineStr">
        <is>
          <t>前20名合计</t>
        </is>
      </c>
      <c r="D74" s="21" t="n"/>
      <c r="E74" s="21" t="n"/>
      <c r="F74" s="21" t="n"/>
      <c r="G74" s="21" t="n"/>
      <c r="H74" s="21" t="n"/>
      <c r="I74" s="21" t="n"/>
      <c r="J74" s="22">
        <f>SUM(J54:J73)</f>
        <v/>
      </c>
      <c r="K74" s="23">
        <f>IF(J74="","",J74/$G$3)</f>
        <v/>
      </c>
      <c r="L74" s="22">
        <f>SUM(L54:L73)</f>
        <v/>
      </c>
      <c r="M74" s="22">
        <f>SUM(M54:M73)</f>
        <v/>
      </c>
      <c r="N74" s="22">
        <f>SUM(N54:N73)</f>
        <v/>
      </c>
      <c r="O74" s="24" t="inlineStr">
        <is>
          <t>是否达到50%</t>
        </is>
      </c>
      <c r="P74" s="25">
        <f>IF(J74=0,"未填",IF(K74&gt;=0.5,"达标","未达标，请补充客户"))</f>
        <v/>
      </c>
      <c r="Q74" s="21" t="n"/>
      <c r="R74" s="21" t="n"/>
      <c r="S74" s="21" t="n"/>
    </row>
    <row r="76">
      <c r="A76" s="26" t="inlineStr">
        <is>
          <t>勾稽核对</t>
        </is>
      </c>
      <c r="B76" s="27" t="n"/>
      <c r="C76" s="27" t="n"/>
      <c r="D76" s="27" t="n"/>
      <c r="E76" s="27" t="n"/>
      <c r="F76" s="27" t="n"/>
    </row>
    <row r="77">
      <c r="A77" s="9" t="inlineStr">
        <is>
          <t>期间</t>
        </is>
      </c>
      <c r="B77" s="9" t="inlineStr">
        <is>
          <t>当期营业收入（元）</t>
        </is>
      </c>
      <c r="C77" s="9" t="inlineStr">
        <is>
          <t>前20名合计（元）</t>
        </is>
      </c>
      <c r="D77" s="9" t="inlineStr">
        <is>
          <t>合计占比</t>
        </is>
      </c>
      <c r="E77" s="9" t="inlineStr">
        <is>
          <t>差额（元）</t>
        </is>
      </c>
      <c r="F77" s="9" t="inlineStr">
        <is>
          <t>说明</t>
        </is>
      </c>
    </row>
    <row r="78">
      <c r="A78" s="15" t="inlineStr">
        <is>
          <t>2024年度</t>
        </is>
      </c>
      <c r="B78" s="28">
        <f>$C$3</f>
        <v/>
      </c>
      <c r="C78" s="29">
        <f>J28</f>
        <v/>
      </c>
      <c r="D78" s="30">
        <f>IF(C78=0,"",C78/B78)</f>
        <v/>
      </c>
      <c r="E78" s="29">
        <f>IF(C78=0,"",B78-C78)</f>
        <v/>
      </c>
      <c r="F78" s="31" t="inlineStr">
        <is>
          <t>前20名以外客户的合计销售金额</t>
        </is>
      </c>
    </row>
    <row r="79">
      <c r="A79" s="15" t="inlineStr">
        <is>
          <t>2025年度</t>
        </is>
      </c>
      <c r="B79" s="28">
        <f>$E$3</f>
        <v/>
      </c>
      <c r="C79" s="29">
        <f>J51</f>
        <v/>
      </c>
      <c r="D79" s="30">
        <f>IF(C79=0,"",C79/B79)</f>
        <v/>
      </c>
      <c r="E79" s="29">
        <f>IF(C79=0,"",B79-C79)</f>
        <v/>
      </c>
      <c r="F79" s="31" t="inlineStr">
        <is>
          <t>前20名以外客户的合计销售金额</t>
        </is>
      </c>
    </row>
    <row r="80">
      <c r="A80" s="15" t="inlineStr">
        <is>
          <t>2026年1-6月</t>
        </is>
      </c>
      <c r="B80" s="28">
        <f>$G$3</f>
        <v/>
      </c>
      <c r="C80" s="29">
        <f>J74</f>
        <v/>
      </c>
      <c r="D80" s="30">
        <f>IF(C80=0,"",C80/B80)</f>
        <v/>
      </c>
      <c r="E80" s="29">
        <f>IF(C80=0,"",B80-C80)</f>
        <v/>
      </c>
      <c r="F80" s="31" t="inlineStr">
        <is>
          <t>前20名以外客户的合计销售金额</t>
        </is>
      </c>
    </row>
    <row r="81">
      <c r="A81" s="8" t="inlineStr">
        <is>
          <t>注：B列营业收入引用第3行的假设单元格，如需修改请改第3行；绿色字体表示引用本表其他单元格。</t>
        </is>
      </c>
    </row>
  </sheetData>
  <mergeCells count="6">
    <mergeCell ref="A81:F81"/>
    <mergeCell ref="A1:S1"/>
    <mergeCell ref="A53:S53"/>
    <mergeCell ref="A30:S30"/>
    <mergeCell ref="A2:S2"/>
    <mergeCell ref="A7:S7"/>
  </mergeCells>
  <dataValidations count="3">
    <dataValidation sqref="E7:E73" showDropDown="0" showInputMessage="0" showErrorMessage="0" allowBlank="1" type="list">
      <formula1>"经销商,直销客户,电商平台,商超,其他"</formula1>
    </dataValidation>
    <dataValidation sqref="F7:F73" showDropDown="0" showInputMessage="0" showErrorMessage="0" allowBlank="1" type="list">
      <formula1>"买断经销,委托代销,直销,平台入仓,平台代销,其他"</formula1>
    </dataValidation>
    <dataValidation sqref="O7:O73 Q7:Q7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4" customWidth="1" min="3" max="3"/>
    <col width="22" customWidth="1" min="4" max="4"/>
    <col width="13" customWidth="1" min="5" max="5"/>
    <col width="14" customWidth="1" min="6" max="6"/>
    <col width="14" customWidth="1" min="7" max="7"/>
    <col width="20" customWidth="1" min="8" max="8"/>
    <col width="13" customWidth="1" min="9" max="9"/>
    <col width="17" customWidth="1" min="10" max="10"/>
    <col width="14" customWidth="1" min="11" max="11"/>
    <col width="17" customWidth="1" min="12" max="12"/>
    <col width="16" customWidth="1" min="13" max="13"/>
    <col width="18" customWidth="1" min="14" max="14"/>
    <col width="12" customWidth="1" min="15" max="15"/>
    <col width="26" customWidth="1" min="16" max="16"/>
    <col width="14" customWidth="1" min="17" max="17"/>
    <col width="34" customWidth="1" min="18" max="18"/>
    <col width="18" customWidth="1" min="19" max="19"/>
  </cols>
  <sheetData>
    <row r="1" ht="24" customHeight="1">
      <c r="A1" s="4" t="inlineStr">
        <is>
          <t>燕京中发生物技术（邢台）有限公司 主要客户清单</t>
        </is>
      </c>
    </row>
    <row r="2" ht="30" customHeight="1">
      <c r="A2" s="5" t="inlineStr">
        <is>
          <t>填报要求：各期至少填列前20名客户，且前列客户销售金额合计占当期营业收入比例不低于50%；如前20名合计未达50%，请继续向下补充至达标。黄色底纹单元格由公司填写，灰色底纹为公式，请勿修改。</t>
        </is>
      </c>
    </row>
    <row r="3" ht="18" customHeight="1">
      <c r="A3" s="6" t="inlineStr">
        <is>
          <t>当期营业收入（元）</t>
        </is>
      </c>
      <c r="B3" s="6" t="inlineStr">
        <is>
          <t>2024年度</t>
        </is>
      </c>
      <c r="C3" s="7" t="n">
        <v>5163572.58</v>
      </c>
      <c r="D3" s="6" t="inlineStr">
        <is>
          <t>2025年度</t>
        </is>
      </c>
      <c r="E3" s="7" t="n">
        <v>100430167.78</v>
      </c>
      <c r="F3" s="6" t="inlineStr">
        <is>
          <t>2026年1-6月</t>
        </is>
      </c>
      <c r="G3" s="7" t="n">
        <v>29375817.27</v>
      </c>
      <c r="H3" s="8" t="inlineStr">
        <is>
          <t>← 蓝色数字取自财务报表，如与账面不符请直接修改，占比公式将自动更新</t>
        </is>
      </c>
    </row>
    <row r="5" ht="42" customHeight="1">
      <c r="A5" s="9" t="inlineStr">
        <is>
          <t>期间</t>
        </is>
      </c>
      <c r="B5" s="9" t="inlineStr">
        <is>
          <t>序号</t>
        </is>
      </c>
      <c r="C5" s="9" t="inlineStr">
        <is>
          <t>客户名称（全称）</t>
        </is>
      </c>
      <c r="D5" s="9" t="inlineStr">
        <is>
          <t>统一社会信用代码</t>
        </is>
      </c>
      <c r="E5" s="9" t="inlineStr">
        <is>
          <t>客户类型</t>
        </is>
      </c>
      <c r="F5" s="9" t="inlineStr">
        <is>
          <t>销售模式</t>
        </is>
      </c>
      <c r="G5" s="9" t="inlineStr">
        <is>
          <t>经销区域</t>
        </is>
      </c>
      <c r="H5" s="9" t="inlineStr">
        <is>
          <t>主要销售产品</t>
        </is>
      </c>
      <c r="I5" s="9" t="inlineStr">
        <is>
          <t>合作起始时间</t>
        </is>
      </c>
      <c r="J5" s="9" t="inlineStr">
        <is>
          <t>本期销售金额
（不含税，元）</t>
        </is>
      </c>
      <c r="K5" s="9" t="inlineStr">
        <is>
          <t>占当期营业收入
比例（%）</t>
        </is>
      </c>
      <c r="L5" s="9" t="inlineStr">
        <is>
          <t>本期回款金额
（含税，元）</t>
        </is>
      </c>
      <c r="M5" s="9" t="inlineStr">
        <is>
          <t>期末应收账款
余额（元）</t>
        </is>
      </c>
      <c r="N5" s="9" t="inlineStr">
        <is>
          <t>期末合同负债
（预收）余额（元）</t>
        </is>
      </c>
      <c r="O5" s="9" t="inlineStr">
        <is>
          <t>是否存在
第三方回款</t>
        </is>
      </c>
      <c r="P5" s="9" t="inlineStr">
        <is>
          <t>第三方回款方名称及金额</t>
        </is>
      </c>
      <c r="Q5" s="9" t="inlineStr">
        <is>
          <t>是否关联方或存在
关联关系</t>
        </is>
      </c>
      <c r="R5" s="9" t="inlineStr">
        <is>
          <t>关联关系说明
（是否为股东、董监高、员工及其近亲属持股或任职）</t>
        </is>
      </c>
      <c r="S5" s="9" t="inlineStr">
        <is>
          <t>备注</t>
        </is>
      </c>
    </row>
    <row r="6">
      <c r="A6" s="10" t="inlineStr">
        <is>
          <t>2025年度</t>
        </is>
      </c>
      <c r="B6" s="10" t="n">
        <v>1</v>
      </c>
      <c r="C6" s="11" t="inlineStr">
        <is>
          <t>示例：××省××生物科技有限公司</t>
        </is>
      </c>
      <c r="D6" s="11" t="inlineStr">
        <is>
          <t>91XXXXXXXXXXXXXXXX</t>
        </is>
      </c>
      <c r="E6" s="10" t="inlineStr">
        <is>
          <t>经销商</t>
        </is>
      </c>
      <c r="F6" s="10" t="inlineStr">
        <is>
          <t>买断经销</t>
        </is>
      </c>
      <c r="G6" s="11" t="inlineStr">
        <is>
          <t>华东区</t>
        </is>
      </c>
      <c r="H6" s="11" t="inlineStr">
        <is>
          <t>纳福多肽、有机全脂羊乳粉</t>
        </is>
      </c>
      <c r="I6" s="10" t="inlineStr">
        <is>
          <t>2024-08</t>
        </is>
      </c>
      <c r="J6" s="12" t="n">
        <v>8765432.1</v>
      </c>
      <c r="K6" s="13" t="n"/>
      <c r="L6" s="12" t="n">
        <v>9905000</v>
      </c>
      <c r="M6" s="12" t="n">
        <v>0</v>
      </c>
      <c r="N6" s="12" t="n">
        <v>500000</v>
      </c>
      <c r="O6" s="10" t="inlineStr">
        <is>
          <t>否</t>
        </is>
      </c>
      <c r="P6" s="11" t="inlineStr">
        <is>
          <t>无</t>
        </is>
      </c>
      <c r="Q6" s="10" t="inlineStr">
        <is>
          <t>否</t>
        </is>
      </c>
      <c r="R6" s="11" t="inlineStr">
        <is>
          <t>无</t>
        </is>
      </c>
      <c r="S6" s="11" t="inlineStr">
        <is>
          <t>↑ 示例行，填报时请删除</t>
        </is>
      </c>
    </row>
    <row r="7">
      <c r="A7" s="6" t="inlineStr">
        <is>
          <t>2024年度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</row>
    <row r="8">
      <c r="A8" s="15" t="inlineStr">
        <is>
          <t>2024年度</t>
        </is>
      </c>
      <c r="B8" s="15" t="n">
        <v>1</v>
      </c>
      <c r="C8" s="16" t="n"/>
      <c r="D8" s="16" t="n"/>
      <c r="E8" s="17" t="n"/>
      <c r="F8" s="17" t="n"/>
      <c r="G8" s="16" t="n"/>
      <c r="H8" s="16" t="n"/>
      <c r="I8" s="17" t="n"/>
      <c r="J8" s="18" t="n"/>
      <c r="K8" s="19">
        <f>IF(J8="","",J8/$C$3)</f>
        <v/>
      </c>
      <c r="L8" s="18" t="n"/>
      <c r="M8" s="18" t="n"/>
      <c r="N8" s="18" t="n"/>
      <c r="O8" s="17" t="n"/>
      <c r="P8" s="16" t="n"/>
      <c r="Q8" s="17" t="n"/>
      <c r="R8" s="16" t="n"/>
      <c r="S8" s="16" t="n"/>
    </row>
    <row r="9">
      <c r="A9" s="15" t="inlineStr">
        <is>
          <t>2024年度</t>
        </is>
      </c>
      <c r="B9" s="15" t="n">
        <v>2</v>
      </c>
      <c r="C9" s="16" t="n"/>
      <c r="D9" s="16" t="n"/>
      <c r="E9" s="17" t="n"/>
      <c r="F9" s="17" t="n"/>
      <c r="G9" s="16" t="n"/>
      <c r="H9" s="16" t="n"/>
      <c r="I9" s="17" t="n"/>
      <c r="J9" s="18" t="n"/>
      <c r="K9" s="19">
        <f>IF(J9="","",J9/$C$3)</f>
        <v/>
      </c>
      <c r="L9" s="18" t="n"/>
      <c r="M9" s="18" t="n"/>
      <c r="N9" s="18" t="n"/>
      <c r="O9" s="17" t="n"/>
      <c r="P9" s="16" t="n"/>
      <c r="Q9" s="17" t="n"/>
      <c r="R9" s="16" t="n"/>
      <c r="S9" s="16" t="n"/>
    </row>
    <row r="10">
      <c r="A10" s="15" t="inlineStr">
        <is>
          <t>2024年度</t>
        </is>
      </c>
      <c r="B10" s="15" t="n">
        <v>3</v>
      </c>
      <c r="C10" s="16" t="n"/>
      <c r="D10" s="16" t="n"/>
      <c r="E10" s="17" t="n"/>
      <c r="F10" s="17" t="n"/>
      <c r="G10" s="16" t="n"/>
      <c r="H10" s="16" t="n"/>
      <c r="I10" s="17" t="n"/>
      <c r="J10" s="18" t="n"/>
      <c r="K10" s="19">
        <f>IF(J10="","",J10/$C$3)</f>
        <v/>
      </c>
      <c r="L10" s="18" t="n"/>
      <c r="M10" s="18" t="n"/>
      <c r="N10" s="18" t="n"/>
      <c r="O10" s="17" t="n"/>
      <c r="P10" s="16" t="n"/>
      <c r="Q10" s="17" t="n"/>
      <c r="R10" s="16" t="n"/>
      <c r="S10" s="16" t="n"/>
    </row>
    <row r="11">
      <c r="A11" s="15" t="inlineStr">
        <is>
          <t>2024年度</t>
        </is>
      </c>
      <c r="B11" s="15" t="n">
        <v>4</v>
      </c>
      <c r="C11" s="16" t="n"/>
      <c r="D11" s="16" t="n"/>
      <c r="E11" s="17" t="n"/>
      <c r="F11" s="17" t="n"/>
      <c r="G11" s="16" t="n"/>
      <c r="H11" s="16" t="n"/>
      <c r="I11" s="17" t="n"/>
      <c r="J11" s="18" t="n"/>
      <c r="K11" s="19">
        <f>IF(J11="","",J11/$C$3)</f>
        <v/>
      </c>
      <c r="L11" s="18" t="n"/>
      <c r="M11" s="18" t="n"/>
      <c r="N11" s="18" t="n"/>
      <c r="O11" s="17" t="n"/>
      <c r="P11" s="16" t="n"/>
      <c r="Q11" s="17" t="n"/>
      <c r="R11" s="16" t="n"/>
      <c r="S11" s="16" t="n"/>
    </row>
    <row r="12">
      <c r="A12" s="15" t="inlineStr">
        <is>
          <t>2024年度</t>
        </is>
      </c>
      <c r="B12" s="15" t="n">
        <v>5</v>
      </c>
      <c r="C12" s="16" t="n"/>
      <c r="D12" s="16" t="n"/>
      <c r="E12" s="17" t="n"/>
      <c r="F12" s="17" t="n"/>
      <c r="G12" s="16" t="n"/>
      <c r="H12" s="16" t="n"/>
      <c r="I12" s="17" t="n"/>
      <c r="J12" s="18" t="n"/>
      <c r="K12" s="19">
        <f>IF(J12="","",J12/$C$3)</f>
        <v/>
      </c>
      <c r="L12" s="18" t="n"/>
      <c r="M12" s="18" t="n"/>
      <c r="N12" s="18" t="n"/>
      <c r="O12" s="17" t="n"/>
      <c r="P12" s="16" t="n"/>
      <c r="Q12" s="17" t="n"/>
      <c r="R12" s="16" t="n"/>
      <c r="S12" s="16" t="n"/>
    </row>
    <row r="13">
      <c r="A13" s="15" t="inlineStr">
        <is>
          <t>2024年度</t>
        </is>
      </c>
      <c r="B13" s="15" t="n">
        <v>6</v>
      </c>
      <c r="C13" s="16" t="n"/>
      <c r="D13" s="16" t="n"/>
      <c r="E13" s="17" t="n"/>
      <c r="F13" s="17" t="n"/>
      <c r="G13" s="16" t="n"/>
      <c r="H13" s="16" t="n"/>
      <c r="I13" s="17" t="n"/>
      <c r="J13" s="18" t="n"/>
      <c r="K13" s="19">
        <f>IF(J13="","",J13/$C$3)</f>
        <v/>
      </c>
      <c r="L13" s="18" t="n"/>
      <c r="M13" s="18" t="n"/>
      <c r="N13" s="18" t="n"/>
      <c r="O13" s="17" t="n"/>
      <c r="P13" s="16" t="n"/>
      <c r="Q13" s="17" t="n"/>
      <c r="R13" s="16" t="n"/>
      <c r="S13" s="16" t="n"/>
    </row>
    <row r="14">
      <c r="A14" s="15" t="inlineStr">
        <is>
          <t>2024年度</t>
        </is>
      </c>
      <c r="B14" s="15" t="n">
        <v>7</v>
      </c>
      <c r="C14" s="16" t="n"/>
      <c r="D14" s="16" t="n"/>
      <c r="E14" s="17" t="n"/>
      <c r="F14" s="17" t="n"/>
      <c r="G14" s="16" t="n"/>
      <c r="H14" s="16" t="n"/>
      <c r="I14" s="17" t="n"/>
      <c r="J14" s="18" t="n"/>
      <c r="K14" s="19">
        <f>IF(J14="","",J14/$C$3)</f>
        <v/>
      </c>
      <c r="L14" s="18" t="n"/>
      <c r="M14" s="18" t="n"/>
      <c r="N14" s="18" t="n"/>
      <c r="O14" s="17" t="n"/>
      <c r="P14" s="16" t="n"/>
      <c r="Q14" s="17" t="n"/>
      <c r="R14" s="16" t="n"/>
      <c r="S14" s="16" t="n"/>
    </row>
    <row r="15">
      <c r="A15" s="15" t="inlineStr">
        <is>
          <t>2024年度</t>
        </is>
      </c>
      <c r="B15" s="15" t="n">
        <v>8</v>
      </c>
      <c r="C15" s="16" t="n"/>
      <c r="D15" s="16" t="n"/>
      <c r="E15" s="17" t="n"/>
      <c r="F15" s="17" t="n"/>
      <c r="G15" s="16" t="n"/>
      <c r="H15" s="16" t="n"/>
      <c r="I15" s="17" t="n"/>
      <c r="J15" s="18" t="n"/>
      <c r="K15" s="19">
        <f>IF(J15="","",J15/$C$3)</f>
        <v/>
      </c>
      <c r="L15" s="18" t="n"/>
      <c r="M15" s="18" t="n"/>
      <c r="N15" s="18" t="n"/>
      <c r="O15" s="17" t="n"/>
      <c r="P15" s="16" t="n"/>
      <c r="Q15" s="17" t="n"/>
      <c r="R15" s="16" t="n"/>
      <c r="S15" s="16" t="n"/>
    </row>
    <row r="16">
      <c r="A16" s="15" t="inlineStr">
        <is>
          <t>2024年度</t>
        </is>
      </c>
      <c r="B16" s="15" t="n">
        <v>9</v>
      </c>
      <c r="C16" s="16" t="n"/>
      <c r="D16" s="16" t="n"/>
      <c r="E16" s="17" t="n"/>
      <c r="F16" s="17" t="n"/>
      <c r="G16" s="16" t="n"/>
      <c r="H16" s="16" t="n"/>
      <c r="I16" s="17" t="n"/>
      <c r="J16" s="18" t="n"/>
      <c r="K16" s="19">
        <f>IF(J16="","",J16/$C$3)</f>
        <v/>
      </c>
      <c r="L16" s="18" t="n"/>
      <c r="M16" s="18" t="n"/>
      <c r="N16" s="18" t="n"/>
      <c r="O16" s="17" t="n"/>
      <c r="P16" s="16" t="n"/>
      <c r="Q16" s="17" t="n"/>
      <c r="R16" s="16" t="n"/>
      <c r="S16" s="16" t="n"/>
    </row>
    <row r="17">
      <c r="A17" s="15" t="inlineStr">
        <is>
          <t>2024年度</t>
        </is>
      </c>
      <c r="B17" s="15" t="n">
        <v>10</v>
      </c>
      <c r="C17" s="16" t="n"/>
      <c r="D17" s="16" t="n"/>
      <c r="E17" s="17" t="n"/>
      <c r="F17" s="17" t="n"/>
      <c r="G17" s="16" t="n"/>
      <c r="H17" s="16" t="n"/>
      <c r="I17" s="17" t="n"/>
      <c r="J17" s="18" t="n"/>
      <c r="K17" s="19">
        <f>IF(J17="","",J17/$C$3)</f>
        <v/>
      </c>
      <c r="L17" s="18" t="n"/>
      <c r="M17" s="18" t="n"/>
      <c r="N17" s="18" t="n"/>
      <c r="O17" s="17" t="n"/>
      <c r="P17" s="16" t="n"/>
      <c r="Q17" s="17" t="n"/>
      <c r="R17" s="16" t="n"/>
      <c r="S17" s="16" t="n"/>
    </row>
    <row r="18">
      <c r="A18" s="15" t="inlineStr">
        <is>
          <t>2024年度</t>
        </is>
      </c>
      <c r="B18" s="15" t="n">
        <v>11</v>
      </c>
      <c r="C18" s="16" t="n"/>
      <c r="D18" s="16" t="n"/>
      <c r="E18" s="17" t="n"/>
      <c r="F18" s="17" t="n"/>
      <c r="G18" s="16" t="n"/>
      <c r="H18" s="16" t="n"/>
      <c r="I18" s="17" t="n"/>
      <c r="J18" s="18" t="n"/>
      <c r="K18" s="19">
        <f>IF(J18="","",J18/$C$3)</f>
        <v/>
      </c>
      <c r="L18" s="18" t="n"/>
      <c r="M18" s="18" t="n"/>
      <c r="N18" s="18" t="n"/>
      <c r="O18" s="17" t="n"/>
      <c r="P18" s="16" t="n"/>
      <c r="Q18" s="17" t="n"/>
      <c r="R18" s="16" t="n"/>
      <c r="S18" s="16" t="n"/>
    </row>
    <row r="19">
      <c r="A19" s="15" t="inlineStr">
        <is>
          <t>2024年度</t>
        </is>
      </c>
      <c r="B19" s="15" t="n">
        <v>12</v>
      </c>
      <c r="C19" s="16" t="n"/>
      <c r="D19" s="16" t="n"/>
      <c r="E19" s="17" t="n"/>
      <c r="F19" s="17" t="n"/>
      <c r="G19" s="16" t="n"/>
      <c r="H19" s="16" t="n"/>
      <c r="I19" s="17" t="n"/>
      <c r="J19" s="18" t="n"/>
      <c r="K19" s="19">
        <f>IF(J19="","",J19/$C$3)</f>
        <v/>
      </c>
      <c r="L19" s="18" t="n"/>
      <c r="M19" s="18" t="n"/>
      <c r="N19" s="18" t="n"/>
      <c r="O19" s="17" t="n"/>
      <c r="P19" s="16" t="n"/>
      <c r="Q19" s="17" t="n"/>
      <c r="R19" s="16" t="n"/>
      <c r="S19" s="16" t="n"/>
    </row>
    <row r="20">
      <c r="A20" s="15" t="inlineStr">
        <is>
          <t>2024年度</t>
        </is>
      </c>
      <c r="B20" s="15" t="n">
        <v>13</v>
      </c>
      <c r="C20" s="16" t="n"/>
      <c r="D20" s="16" t="n"/>
      <c r="E20" s="17" t="n"/>
      <c r="F20" s="17" t="n"/>
      <c r="G20" s="16" t="n"/>
      <c r="H20" s="16" t="n"/>
      <c r="I20" s="17" t="n"/>
      <c r="J20" s="18" t="n"/>
      <c r="K20" s="19">
        <f>IF(J20="","",J20/$C$3)</f>
        <v/>
      </c>
      <c r="L20" s="18" t="n"/>
      <c r="M20" s="18" t="n"/>
      <c r="N20" s="18" t="n"/>
      <c r="O20" s="17" t="n"/>
      <c r="P20" s="16" t="n"/>
      <c r="Q20" s="17" t="n"/>
      <c r="R20" s="16" t="n"/>
      <c r="S20" s="16" t="n"/>
    </row>
    <row r="21">
      <c r="A21" s="15" t="inlineStr">
        <is>
          <t>2024年度</t>
        </is>
      </c>
      <c r="B21" s="15" t="n">
        <v>14</v>
      </c>
      <c r="C21" s="16" t="n"/>
      <c r="D21" s="16" t="n"/>
      <c r="E21" s="17" t="n"/>
      <c r="F21" s="17" t="n"/>
      <c r="G21" s="16" t="n"/>
      <c r="H21" s="16" t="n"/>
      <c r="I21" s="17" t="n"/>
      <c r="J21" s="18" t="n"/>
      <c r="K21" s="19">
        <f>IF(J21="","",J21/$C$3)</f>
        <v/>
      </c>
      <c r="L21" s="18" t="n"/>
      <c r="M21" s="18" t="n"/>
      <c r="N21" s="18" t="n"/>
      <c r="O21" s="17" t="n"/>
      <c r="P21" s="16" t="n"/>
      <c r="Q21" s="17" t="n"/>
      <c r="R21" s="16" t="n"/>
      <c r="S21" s="16" t="n"/>
    </row>
    <row r="22">
      <c r="A22" s="15" t="inlineStr">
        <is>
          <t>2024年度</t>
        </is>
      </c>
      <c r="B22" s="15" t="n">
        <v>15</v>
      </c>
      <c r="C22" s="16" t="n"/>
      <c r="D22" s="16" t="n"/>
      <c r="E22" s="17" t="n"/>
      <c r="F22" s="17" t="n"/>
      <c r="G22" s="16" t="n"/>
      <c r="H22" s="16" t="n"/>
      <c r="I22" s="17" t="n"/>
      <c r="J22" s="18" t="n"/>
      <c r="K22" s="19">
        <f>IF(J22="","",J22/$C$3)</f>
        <v/>
      </c>
      <c r="L22" s="18" t="n"/>
      <c r="M22" s="18" t="n"/>
      <c r="N22" s="18" t="n"/>
      <c r="O22" s="17" t="n"/>
      <c r="P22" s="16" t="n"/>
      <c r="Q22" s="17" t="n"/>
      <c r="R22" s="16" t="n"/>
      <c r="S22" s="16" t="n"/>
    </row>
    <row r="23">
      <c r="A23" s="15" t="inlineStr">
        <is>
          <t>2024年度</t>
        </is>
      </c>
      <c r="B23" s="15" t="n">
        <v>16</v>
      </c>
      <c r="C23" s="16" t="n"/>
      <c r="D23" s="16" t="n"/>
      <c r="E23" s="17" t="n"/>
      <c r="F23" s="17" t="n"/>
      <c r="G23" s="16" t="n"/>
      <c r="H23" s="16" t="n"/>
      <c r="I23" s="17" t="n"/>
      <c r="J23" s="18" t="n"/>
      <c r="K23" s="19">
        <f>IF(J23="","",J23/$C$3)</f>
        <v/>
      </c>
      <c r="L23" s="18" t="n"/>
      <c r="M23" s="18" t="n"/>
      <c r="N23" s="18" t="n"/>
      <c r="O23" s="17" t="n"/>
      <c r="P23" s="16" t="n"/>
      <c r="Q23" s="17" t="n"/>
      <c r="R23" s="16" t="n"/>
      <c r="S23" s="16" t="n"/>
    </row>
    <row r="24">
      <c r="A24" s="15" t="inlineStr">
        <is>
          <t>2024年度</t>
        </is>
      </c>
      <c r="B24" s="15" t="n">
        <v>17</v>
      </c>
      <c r="C24" s="16" t="n"/>
      <c r="D24" s="16" t="n"/>
      <c r="E24" s="17" t="n"/>
      <c r="F24" s="17" t="n"/>
      <c r="G24" s="16" t="n"/>
      <c r="H24" s="16" t="n"/>
      <c r="I24" s="17" t="n"/>
      <c r="J24" s="18" t="n"/>
      <c r="K24" s="19">
        <f>IF(J24="","",J24/$C$3)</f>
        <v/>
      </c>
      <c r="L24" s="18" t="n"/>
      <c r="M24" s="18" t="n"/>
      <c r="N24" s="18" t="n"/>
      <c r="O24" s="17" t="n"/>
      <c r="P24" s="16" t="n"/>
      <c r="Q24" s="17" t="n"/>
      <c r="R24" s="16" t="n"/>
      <c r="S24" s="16" t="n"/>
    </row>
    <row r="25">
      <c r="A25" s="15" t="inlineStr">
        <is>
          <t>2024年度</t>
        </is>
      </c>
      <c r="B25" s="15" t="n">
        <v>18</v>
      </c>
      <c r="C25" s="16" t="n"/>
      <c r="D25" s="16" t="n"/>
      <c r="E25" s="17" t="n"/>
      <c r="F25" s="17" t="n"/>
      <c r="G25" s="16" t="n"/>
      <c r="H25" s="16" t="n"/>
      <c r="I25" s="17" t="n"/>
      <c r="J25" s="18" t="n"/>
      <c r="K25" s="19">
        <f>IF(J25="","",J25/$C$3)</f>
        <v/>
      </c>
      <c r="L25" s="18" t="n"/>
      <c r="M25" s="18" t="n"/>
      <c r="N25" s="18" t="n"/>
      <c r="O25" s="17" t="n"/>
      <c r="P25" s="16" t="n"/>
      <c r="Q25" s="17" t="n"/>
      <c r="R25" s="16" t="n"/>
      <c r="S25" s="16" t="n"/>
    </row>
    <row r="26">
      <c r="A26" s="15" t="inlineStr">
        <is>
          <t>2024年度</t>
        </is>
      </c>
      <c r="B26" s="15" t="n">
        <v>19</v>
      </c>
      <c r="C26" s="16" t="n"/>
      <c r="D26" s="16" t="n"/>
      <c r="E26" s="17" t="n"/>
      <c r="F26" s="17" t="n"/>
      <c r="G26" s="16" t="n"/>
      <c r="H26" s="16" t="n"/>
      <c r="I26" s="17" t="n"/>
      <c r="J26" s="18" t="n"/>
      <c r="K26" s="19">
        <f>IF(J26="","",J26/$C$3)</f>
        <v/>
      </c>
      <c r="L26" s="18" t="n"/>
      <c r="M26" s="18" t="n"/>
      <c r="N26" s="18" t="n"/>
      <c r="O26" s="17" t="n"/>
      <c r="P26" s="16" t="n"/>
      <c r="Q26" s="17" t="n"/>
      <c r="R26" s="16" t="n"/>
      <c r="S26" s="16" t="n"/>
    </row>
    <row r="27">
      <c r="A27" s="15" t="inlineStr">
        <is>
          <t>2024年度</t>
        </is>
      </c>
      <c r="B27" s="15" t="n">
        <v>20</v>
      </c>
      <c r="C27" s="16" t="n"/>
      <c r="D27" s="16" t="n"/>
      <c r="E27" s="17" t="n"/>
      <c r="F27" s="17" t="n"/>
      <c r="G27" s="16" t="n"/>
      <c r="H27" s="16" t="n"/>
      <c r="I27" s="17" t="n"/>
      <c r="J27" s="18" t="n"/>
      <c r="K27" s="19">
        <f>IF(J27="","",J27/$C$3)</f>
        <v/>
      </c>
      <c r="L27" s="18" t="n"/>
      <c r="M27" s="18" t="n"/>
      <c r="N27" s="18" t="n"/>
      <c r="O27" s="17" t="n"/>
      <c r="P27" s="16" t="n"/>
      <c r="Q27" s="17" t="n"/>
      <c r="R27" s="16" t="n"/>
      <c r="S27" s="16" t="n"/>
    </row>
    <row r="28">
      <c r="A28" s="20" t="inlineStr">
        <is>
          <t>2024年度</t>
        </is>
      </c>
      <c r="B28" s="21" t="n"/>
      <c r="C28" s="20" t="inlineStr">
        <is>
          <t>前20名合计</t>
        </is>
      </c>
      <c r="D28" s="21" t="n"/>
      <c r="E28" s="21" t="n"/>
      <c r="F28" s="21" t="n"/>
      <c r="G28" s="21" t="n"/>
      <c r="H28" s="21" t="n"/>
      <c r="I28" s="21" t="n"/>
      <c r="J28" s="22">
        <f>SUM(J8:J27)</f>
        <v/>
      </c>
      <c r="K28" s="23">
        <f>IF(J28="","",J28/$C$3)</f>
        <v/>
      </c>
      <c r="L28" s="22">
        <f>SUM(L8:L27)</f>
        <v/>
      </c>
      <c r="M28" s="22">
        <f>SUM(M8:M27)</f>
        <v/>
      </c>
      <c r="N28" s="22">
        <f>SUM(N8:N27)</f>
        <v/>
      </c>
      <c r="O28" s="24" t="inlineStr">
        <is>
          <t>是否达到50%</t>
        </is>
      </c>
      <c r="P28" s="25">
        <f>IF(J28=0,"未填",IF(K28&gt;=0.5,"达标","未达标，请补充客户"))</f>
        <v/>
      </c>
      <c r="Q28" s="21" t="n"/>
      <c r="R28" s="21" t="n"/>
      <c r="S28" s="21" t="n"/>
    </row>
    <row r="30">
      <c r="A30" s="6" t="inlineStr">
        <is>
          <t>2025年度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</row>
    <row r="31">
      <c r="A31" s="15" t="inlineStr">
        <is>
          <t>2025年度</t>
        </is>
      </c>
      <c r="B31" s="15" t="n">
        <v>1</v>
      </c>
      <c r="C31" s="16" t="n"/>
      <c r="D31" s="16" t="n"/>
      <c r="E31" s="17" t="n"/>
      <c r="F31" s="17" t="n"/>
      <c r="G31" s="16" t="n"/>
      <c r="H31" s="16" t="n"/>
      <c r="I31" s="17" t="n"/>
      <c r="J31" s="18" t="n"/>
      <c r="K31" s="19">
        <f>IF(J31="","",J31/$E$3)</f>
        <v/>
      </c>
      <c r="L31" s="18" t="n"/>
      <c r="M31" s="18" t="n"/>
      <c r="N31" s="18" t="n"/>
      <c r="O31" s="17" t="n"/>
      <c r="P31" s="16" t="n"/>
      <c r="Q31" s="17" t="n"/>
      <c r="R31" s="16" t="n"/>
      <c r="S31" s="16" t="n"/>
    </row>
    <row r="32">
      <c r="A32" s="15" t="inlineStr">
        <is>
          <t>2025年度</t>
        </is>
      </c>
      <c r="B32" s="15" t="n">
        <v>2</v>
      </c>
      <c r="C32" s="16" t="n"/>
      <c r="D32" s="16" t="n"/>
      <c r="E32" s="17" t="n"/>
      <c r="F32" s="17" t="n"/>
      <c r="G32" s="16" t="n"/>
      <c r="H32" s="16" t="n"/>
      <c r="I32" s="17" t="n"/>
      <c r="J32" s="18" t="n"/>
      <c r="K32" s="19">
        <f>IF(J32="","",J32/$E$3)</f>
        <v/>
      </c>
      <c r="L32" s="18" t="n"/>
      <c r="M32" s="18" t="n"/>
      <c r="N32" s="18" t="n"/>
      <c r="O32" s="17" t="n"/>
      <c r="P32" s="16" t="n"/>
      <c r="Q32" s="17" t="n"/>
      <c r="R32" s="16" t="n"/>
      <c r="S32" s="16" t="n"/>
    </row>
    <row r="33">
      <c r="A33" s="15" t="inlineStr">
        <is>
          <t>2025年度</t>
        </is>
      </c>
      <c r="B33" s="15" t="n">
        <v>3</v>
      </c>
      <c r="C33" s="16" t="n"/>
      <c r="D33" s="16" t="n"/>
      <c r="E33" s="17" t="n"/>
      <c r="F33" s="17" t="n"/>
      <c r="G33" s="16" t="n"/>
      <c r="H33" s="16" t="n"/>
      <c r="I33" s="17" t="n"/>
      <c r="J33" s="18" t="n"/>
      <c r="K33" s="19">
        <f>IF(J33="","",J33/$E$3)</f>
        <v/>
      </c>
      <c r="L33" s="18" t="n"/>
      <c r="M33" s="18" t="n"/>
      <c r="N33" s="18" t="n"/>
      <c r="O33" s="17" t="n"/>
      <c r="P33" s="16" t="n"/>
      <c r="Q33" s="17" t="n"/>
      <c r="R33" s="16" t="n"/>
      <c r="S33" s="16" t="n"/>
    </row>
    <row r="34">
      <c r="A34" s="15" t="inlineStr">
        <is>
          <t>2025年度</t>
        </is>
      </c>
      <c r="B34" s="15" t="n">
        <v>4</v>
      </c>
      <c r="C34" s="16" t="n"/>
      <c r="D34" s="16" t="n"/>
      <c r="E34" s="17" t="n"/>
      <c r="F34" s="17" t="n"/>
      <c r="G34" s="16" t="n"/>
      <c r="H34" s="16" t="n"/>
      <c r="I34" s="17" t="n"/>
      <c r="J34" s="18" t="n"/>
      <c r="K34" s="19">
        <f>IF(J34="","",J34/$E$3)</f>
        <v/>
      </c>
      <c r="L34" s="18" t="n"/>
      <c r="M34" s="18" t="n"/>
      <c r="N34" s="18" t="n"/>
      <c r="O34" s="17" t="n"/>
      <c r="P34" s="16" t="n"/>
      <c r="Q34" s="17" t="n"/>
      <c r="R34" s="16" t="n"/>
      <c r="S34" s="16" t="n"/>
    </row>
    <row r="35">
      <c r="A35" s="15" t="inlineStr">
        <is>
          <t>2025年度</t>
        </is>
      </c>
      <c r="B35" s="15" t="n">
        <v>5</v>
      </c>
      <c r="C35" s="16" t="n"/>
      <c r="D35" s="16" t="n"/>
      <c r="E35" s="17" t="n"/>
      <c r="F35" s="17" t="n"/>
      <c r="G35" s="16" t="n"/>
      <c r="H35" s="16" t="n"/>
      <c r="I35" s="17" t="n"/>
      <c r="J35" s="18" t="n"/>
      <c r="K35" s="19">
        <f>IF(J35="","",J35/$E$3)</f>
        <v/>
      </c>
      <c r="L35" s="18" t="n"/>
      <c r="M35" s="18" t="n"/>
      <c r="N35" s="18" t="n"/>
      <c r="O35" s="17" t="n"/>
      <c r="P35" s="16" t="n"/>
      <c r="Q35" s="17" t="n"/>
      <c r="R35" s="16" t="n"/>
      <c r="S35" s="16" t="n"/>
    </row>
    <row r="36">
      <c r="A36" s="15" t="inlineStr">
        <is>
          <t>2025年度</t>
        </is>
      </c>
      <c r="B36" s="15" t="n">
        <v>6</v>
      </c>
      <c r="C36" s="16" t="n"/>
      <c r="D36" s="16" t="n"/>
      <c r="E36" s="17" t="n"/>
      <c r="F36" s="17" t="n"/>
      <c r="G36" s="16" t="n"/>
      <c r="H36" s="16" t="n"/>
      <c r="I36" s="17" t="n"/>
      <c r="J36" s="18" t="n"/>
      <c r="K36" s="19">
        <f>IF(J36="","",J36/$E$3)</f>
        <v/>
      </c>
      <c r="L36" s="18" t="n"/>
      <c r="M36" s="18" t="n"/>
      <c r="N36" s="18" t="n"/>
      <c r="O36" s="17" t="n"/>
      <c r="P36" s="16" t="n"/>
      <c r="Q36" s="17" t="n"/>
      <c r="R36" s="16" t="n"/>
      <c r="S36" s="16" t="n"/>
    </row>
    <row r="37">
      <c r="A37" s="15" t="inlineStr">
        <is>
          <t>2025年度</t>
        </is>
      </c>
      <c r="B37" s="15" t="n">
        <v>7</v>
      </c>
      <c r="C37" s="16" t="n"/>
      <c r="D37" s="16" t="n"/>
      <c r="E37" s="17" t="n"/>
      <c r="F37" s="17" t="n"/>
      <c r="G37" s="16" t="n"/>
      <c r="H37" s="16" t="n"/>
      <c r="I37" s="17" t="n"/>
      <c r="J37" s="18" t="n"/>
      <c r="K37" s="19">
        <f>IF(J37="","",J37/$E$3)</f>
        <v/>
      </c>
      <c r="L37" s="18" t="n"/>
      <c r="M37" s="18" t="n"/>
      <c r="N37" s="18" t="n"/>
      <c r="O37" s="17" t="n"/>
      <c r="P37" s="16" t="n"/>
      <c r="Q37" s="17" t="n"/>
      <c r="R37" s="16" t="n"/>
      <c r="S37" s="16" t="n"/>
    </row>
    <row r="38">
      <c r="A38" s="15" t="inlineStr">
        <is>
          <t>2025年度</t>
        </is>
      </c>
      <c r="B38" s="15" t="n">
        <v>8</v>
      </c>
      <c r="C38" s="16" t="n"/>
      <c r="D38" s="16" t="n"/>
      <c r="E38" s="17" t="n"/>
      <c r="F38" s="17" t="n"/>
      <c r="G38" s="16" t="n"/>
      <c r="H38" s="16" t="n"/>
      <c r="I38" s="17" t="n"/>
      <c r="J38" s="18" t="n"/>
      <c r="K38" s="19">
        <f>IF(J38="","",J38/$E$3)</f>
        <v/>
      </c>
      <c r="L38" s="18" t="n"/>
      <c r="M38" s="18" t="n"/>
      <c r="N38" s="18" t="n"/>
      <c r="O38" s="17" t="n"/>
      <c r="P38" s="16" t="n"/>
      <c r="Q38" s="17" t="n"/>
      <c r="R38" s="16" t="n"/>
      <c r="S38" s="16" t="n"/>
    </row>
    <row r="39">
      <c r="A39" s="15" t="inlineStr">
        <is>
          <t>2025年度</t>
        </is>
      </c>
      <c r="B39" s="15" t="n">
        <v>9</v>
      </c>
      <c r="C39" s="16" t="n"/>
      <c r="D39" s="16" t="n"/>
      <c r="E39" s="17" t="n"/>
      <c r="F39" s="17" t="n"/>
      <c r="G39" s="16" t="n"/>
      <c r="H39" s="16" t="n"/>
      <c r="I39" s="17" t="n"/>
      <c r="J39" s="18" t="n"/>
      <c r="K39" s="19">
        <f>IF(J39="","",J39/$E$3)</f>
        <v/>
      </c>
      <c r="L39" s="18" t="n"/>
      <c r="M39" s="18" t="n"/>
      <c r="N39" s="18" t="n"/>
      <c r="O39" s="17" t="n"/>
      <c r="P39" s="16" t="n"/>
      <c r="Q39" s="17" t="n"/>
      <c r="R39" s="16" t="n"/>
      <c r="S39" s="16" t="n"/>
    </row>
    <row r="40">
      <c r="A40" s="15" t="inlineStr">
        <is>
          <t>2025年度</t>
        </is>
      </c>
      <c r="B40" s="15" t="n">
        <v>10</v>
      </c>
      <c r="C40" s="16" t="n"/>
      <c r="D40" s="16" t="n"/>
      <c r="E40" s="17" t="n"/>
      <c r="F40" s="17" t="n"/>
      <c r="G40" s="16" t="n"/>
      <c r="H40" s="16" t="n"/>
      <c r="I40" s="17" t="n"/>
      <c r="J40" s="18" t="n"/>
      <c r="K40" s="19">
        <f>IF(J40="","",J40/$E$3)</f>
        <v/>
      </c>
      <c r="L40" s="18" t="n"/>
      <c r="M40" s="18" t="n"/>
      <c r="N40" s="18" t="n"/>
      <c r="O40" s="17" t="n"/>
      <c r="P40" s="16" t="n"/>
      <c r="Q40" s="17" t="n"/>
      <c r="R40" s="16" t="n"/>
      <c r="S40" s="16" t="n"/>
    </row>
    <row r="41">
      <c r="A41" s="15" t="inlineStr">
        <is>
          <t>2025年度</t>
        </is>
      </c>
      <c r="B41" s="15" t="n">
        <v>11</v>
      </c>
      <c r="C41" s="16" t="n"/>
      <c r="D41" s="16" t="n"/>
      <c r="E41" s="17" t="n"/>
      <c r="F41" s="17" t="n"/>
      <c r="G41" s="16" t="n"/>
      <c r="H41" s="16" t="n"/>
      <c r="I41" s="17" t="n"/>
      <c r="J41" s="18" t="n"/>
      <c r="K41" s="19">
        <f>IF(J41="","",J41/$E$3)</f>
        <v/>
      </c>
      <c r="L41" s="18" t="n"/>
      <c r="M41" s="18" t="n"/>
      <c r="N41" s="18" t="n"/>
      <c r="O41" s="17" t="n"/>
      <c r="P41" s="16" t="n"/>
      <c r="Q41" s="17" t="n"/>
      <c r="R41" s="16" t="n"/>
      <c r="S41" s="16" t="n"/>
    </row>
    <row r="42">
      <c r="A42" s="15" t="inlineStr">
        <is>
          <t>2025年度</t>
        </is>
      </c>
      <c r="B42" s="15" t="n">
        <v>12</v>
      </c>
      <c r="C42" s="16" t="n"/>
      <c r="D42" s="16" t="n"/>
      <c r="E42" s="17" t="n"/>
      <c r="F42" s="17" t="n"/>
      <c r="G42" s="16" t="n"/>
      <c r="H42" s="16" t="n"/>
      <c r="I42" s="17" t="n"/>
      <c r="J42" s="18" t="n"/>
      <c r="K42" s="19">
        <f>IF(J42="","",J42/$E$3)</f>
        <v/>
      </c>
      <c r="L42" s="18" t="n"/>
      <c r="M42" s="18" t="n"/>
      <c r="N42" s="18" t="n"/>
      <c r="O42" s="17" t="n"/>
      <c r="P42" s="16" t="n"/>
      <c r="Q42" s="17" t="n"/>
      <c r="R42" s="16" t="n"/>
      <c r="S42" s="16" t="n"/>
    </row>
    <row r="43">
      <c r="A43" s="15" t="inlineStr">
        <is>
          <t>2025年度</t>
        </is>
      </c>
      <c r="B43" s="15" t="n">
        <v>13</v>
      </c>
      <c r="C43" s="16" t="n"/>
      <c r="D43" s="16" t="n"/>
      <c r="E43" s="17" t="n"/>
      <c r="F43" s="17" t="n"/>
      <c r="G43" s="16" t="n"/>
      <c r="H43" s="16" t="n"/>
      <c r="I43" s="17" t="n"/>
      <c r="J43" s="18" t="n"/>
      <c r="K43" s="19">
        <f>IF(J43="","",J43/$E$3)</f>
        <v/>
      </c>
      <c r="L43" s="18" t="n"/>
      <c r="M43" s="18" t="n"/>
      <c r="N43" s="18" t="n"/>
      <c r="O43" s="17" t="n"/>
      <c r="P43" s="16" t="n"/>
      <c r="Q43" s="17" t="n"/>
      <c r="R43" s="16" t="n"/>
      <c r="S43" s="16" t="n"/>
    </row>
    <row r="44">
      <c r="A44" s="15" t="inlineStr">
        <is>
          <t>2025年度</t>
        </is>
      </c>
      <c r="B44" s="15" t="n">
        <v>14</v>
      </c>
      <c r="C44" s="16" t="n"/>
      <c r="D44" s="16" t="n"/>
      <c r="E44" s="17" t="n"/>
      <c r="F44" s="17" t="n"/>
      <c r="G44" s="16" t="n"/>
      <c r="H44" s="16" t="n"/>
      <c r="I44" s="17" t="n"/>
      <c r="J44" s="18" t="n"/>
      <c r="K44" s="19">
        <f>IF(J44="","",J44/$E$3)</f>
        <v/>
      </c>
      <c r="L44" s="18" t="n"/>
      <c r="M44" s="18" t="n"/>
      <c r="N44" s="18" t="n"/>
      <c r="O44" s="17" t="n"/>
      <c r="P44" s="16" t="n"/>
      <c r="Q44" s="17" t="n"/>
      <c r="R44" s="16" t="n"/>
      <c r="S44" s="16" t="n"/>
    </row>
    <row r="45">
      <c r="A45" s="15" t="inlineStr">
        <is>
          <t>2025年度</t>
        </is>
      </c>
      <c r="B45" s="15" t="n">
        <v>15</v>
      </c>
      <c r="C45" s="16" t="n"/>
      <c r="D45" s="16" t="n"/>
      <c r="E45" s="17" t="n"/>
      <c r="F45" s="17" t="n"/>
      <c r="G45" s="16" t="n"/>
      <c r="H45" s="16" t="n"/>
      <c r="I45" s="17" t="n"/>
      <c r="J45" s="18" t="n"/>
      <c r="K45" s="19">
        <f>IF(J45="","",J45/$E$3)</f>
        <v/>
      </c>
      <c r="L45" s="18" t="n"/>
      <c r="M45" s="18" t="n"/>
      <c r="N45" s="18" t="n"/>
      <c r="O45" s="17" t="n"/>
      <c r="P45" s="16" t="n"/>
      <c r="Q45" s="17" t="n"/>
      <c r="R45" s="16" t="n"/>
      <c r="S45" s="16" t="n"/>
    </row>
    <row r="46">
      <c r="A46" s="15" t="inlineStr">
        <is>
          <t>2025年度</t>
        </is>
      </c>
      <c r="B46" s="15" t="n">
        <v>16</v>
      </c>
      <c r="C46" s="16" t="n"/>
      <c r="D46" s="16" t="n"/>
      <c r="E46" s="17" t="n"/>
      <c r="F46" s="17" t="n"/>
      <c r="G46" s="16" t="n"/>
      <c r="H46" s="16" t="n"/>
      <c r="I46" s="17" t="n"/>
      <c r="J46" s="18" t="n"/>
      <c r="K46" s="19">
        <f>IF(J46="","",J46/$E$3)</f>
        <v/>
      </c>
      <c r="L46" s="18" t="n"/>
      <c r="M46" s="18" t="n"/>
      <c r="N46" s="18" t="n"/>
      <c r="O46" s="17" t="n"/>
      <c r="P46" s="16" t="n"/>
      <c r="Q46" s="17" t="n"/>
      <c r="R46" s="16" t="n"/>
      <c r="S46" s="16" t="n"/>
    </row>
    <row r="47">
      <c r="A47" s="15" t="inlineStr">
        <is>
          <t>2025年度</t>
        </is>
      </c>
      <c r="B47" s="15" t="n">
        <v>17</v>
      </c>
      <c r="C47" s="16" t="n"/>
      <c r="D47" s="16" t="n"/>
      <c r="E47" s="17" t="n"/>
      <c r="F47" s="17" t="n"/>
      <c r="G47" s="16" t="n"/>
      <c r="H47" s="16" t="n"/>
      <c r="I47" s="17" t="n"/>
      <c r="J47" s="18" t="n"/>
      <c r="K47" s="19">
        <f>IF(J47="","",J47/$E$3)</f>
        <v/>
      </c>
      <c r="L47" s="18" t="n"/>
      <c r="M47" s="18" t="n"/>
      <c r="N47" s="18" t="n"/>
      <c r="O47" s="17" t="n"/>
      <c r="P47" s="16" t="n"/>
      <c r="Q47" s="17" t="n"/>
      <c r="R47" s="16" t="n"/>
      <c r="S47" s="16" t="n"/>
    </row>
    <row r="48">
      <c r="A48" s="15" t="inlineStr">
        <is>
          <t>2025年度</t>
        </is>
      </c>
      <c r="B48" s="15" t="n">
        <v>18</v>
      </c>
      <c r="C48" s="16" t="n"/>
      <c r="D48" s="16" t="n"/>
      <c r="E48" s="17" t="n"/>
      <c r="F48" s="17" t="n"/>
      <c r="G48" s="16" t="n"/>
      <c r="H48" s="16" t="n"/>
      <c r="I48" s="17" t="n"/>
      <c r="J48" s="18" t="n"/>
      <c r="K48" s="19">
        <f>IF(J48="","",J48/$E$3)</f>
        <v/>
      </c>
      <c r="L48" s="18" t="n"/>
      <c r="M48" s="18" t="n"/>
      <c r="N48" s="18" t="n"/>
      <c r="O48" s="17" t="n"/>
      <c r="P48" s="16" t="n"/>
      <c r="Q48" s="17" t="n"/>
      <c r="R48" s="16" t="n"/>
      <c r="S48" s="16" t="n"/>
    </row>
    <row r="49">
      <c r="A49" s="15" t="inlineStr">
        <is>
          <t>2025年度</t>
        </is>
      </c>
      <c r="B49" s="15" t="n">
        <v>19</v>
      </c>
      <c r="C49" s="16" t="n"/>
      <c r="D49" s="16" t="n"/>
      <c r="E49" s="17" t="n"/>
      <c r="F49" s="17" t="n"/>
      <c r="G49" s="16" t="n"/>
      <c r="H49" s="16" t="n"/>
      <c r="I49" s="17" t="n"/>
      <c r="J49" s="18" t="n"/>
      <c r="K49" s="19">
        <f>IF(J49="","",J49/$E$3)</f>
        <v/>
      </c>
      <c r="L49" s="18" t="n"/>
      <c r="M49" s="18" t="n"/>
      <c r="N49" s="18" t="n"/>
      <c r="O49" s="17" t="n"/>
      <c r="P49" s="16" t="n"/>
      <c r="Q49" s="17" t="n"/>
      <c r="R49" s="16" t="n"/>
      <c r="S49" s="16" t="n"/>
    </row>
    <row r="50">
      <c r="A50" s="15" t="inlineStr">
        <is>
          <t>2025年度</t>
        </is>
      </c>
      <c r="B50" s="15" t="n">
        <v>20</v>
      </c>
      <c r="C50" s="16" t="n"/>
      <c r="D50" s="16" t="n"/>
      <c r="E50" s="17" t="n"/>
      <c r="F50" s="17" t="n"/>
      <c r="G50" s="16" t="n"/>
      <c r="H50" s="16" t="n"/>
      <c r="I50" s="17" t="n"/>
      <c r="J50" s="18" t="n"/>
      <c r="K50" s="19">
        <f>IF(J50="","",J50/$E$3)</f>
        <v/>
      </c>
      <c r="L50" s="18" t="n"/>
      <c r="M50" s="18" t="n"/>
      <c r="N50" s="18" t="n"/>
      <c r="O50" s="17" t="n"/>
      <c r="P50" s="16" t="n"/>
      <c r="Q50" s="17" t="n"/>
      <c r="R50" s="16" t="n"/>
      <c r="S50" s="16" t="n"/>
    </row>
    <row r="51">
      <c r="A51" s="20" t="inlineStr">
        <is>
          <t>2025年度</t>
        </is>
      </c>
      <c r="B51" s="21" t="n"/>
      <c r="C51" s="20" t="inlineStr">
        <is>
          <t>前20名合计</t>
        </is>
      </c>
      <c r="D51" s="21" t="n"/>
      <c r="E51" s="21" t="n"/>
      <c r="F51" s="21" t="n"/>
      <c r="G51" s="21" t="n"/>
      <c r="H51" s="21" t="n"/>
      <c r="I51" s="21" t="n"/>
      <c r="J51" s="22">
        <f>SUM(J31:J50)</f>
        <v/>
      </c>
      <c r="K51" s="23">
        <f>IF(J51="","",J51/$E$3)</f>
        <v/>
      </c>
      <c r="L51" s="22">
        <f>SUM(L31:L50)</f>
        <v/>
      </c>
      <c r="M51" s="22">
        <f>SUM(M31:M50)</f>
        <v/>
      </c>
      <c r="N51" s="22">
        <f>SUM(N31:N50)</f>
        <v/>
      </c>
      <c r="O51" s="24" t="inlineStr">
        <is>
          <t>是否达到50%</t>
        </is>
      </c>
      <c r="P51" s="25">
        <f>IF(J51=0,"未填",IF(K51&gt;=0.5,"达标","未达标，请补充客户"))</f>
        <v/>
      </c>
      <c r="Q51" s="21" t="n"/>
      <c r="R51" s="21" t="n"/>
      <c r="S51" s="21" t="n"/>
    </row>
    <row r="53">
      <c r="A53" s="6" t="inlineStr">
        <is>
          <t>2026年1-6月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</row>
    <row r="54">
      <c r="A54" s="15" t="inlineStr">
        <is>
          <t>2026年1-6月</t>
        </is>
      </c>
      <c r="B54" s="15" t="n">
        <v>1</v>
      </c>
      <c r="C54" s="16" t="n"/>
      <c r="D54" s="16" t="n"/>
      <c r="E54" s="17" t="n"/>
      <c r="F54" s="17" t="n"/>
      <c r="G54" s="16" t="n"/>
      <c r="H54" s="16" t="n"/>
      <c r="I54" s="17" t="n"/>
      <c r="J54" s="18" t="n"/>
      <c r="K54" s="19">
        <f>IF(J54="","",J54/$G$3)</f>
        <v/>
      </c>
      <c r="L54" s="18" t="n"/>
      <c r="M54" s="18" t="n"/>
      <c r="N54" s="18" t="n"/>
      <c r="O54" s="17" t="n"/>
      <c r="P54" s="16" t="n"/>
      <c r="Q54" s="17" t="n"/>
      <c r="R54" s="16" t="n"/>
      <c r="S54" s="16" t="n"/>
    </row>
    <row r="55">
      <c r="A55" s="15" t="inlineStr">
        <is>
          <t>2026年1-6月</t>
        </is>
      </c>
      <c r="B55" s="15" t="n">
        <v>2</v>
      </c>
      <c r="C55" s="16" t="n"/>
      <c r="D55" s="16" t="n"/>
      <c r="E55" s="17" t="n"/>
      <c r="F55" s="17" t="n"/>
      <c r="G55" s="16" t="n"/>
      <c r="H55" s="16" t="n"/>
      <c r="I55" s="17" t="n"/>
      <c r="J55" s="18" t="n"/>
      <c r="K55" s="19">
        <f>IF(J55="","",J55/$G$3)</f>
        <v/>
      </c>
      <c r="L55" s="18" t="n"/>
      <c r="M55" s="18" t="n"/>
      <c r="N55" s="18" t="n"/>
      <c r="O55" s="17" t="n"/>
      <c r="P55" s="16" t="n"/>
      <c r="Q55" s="17" t="n"/>
      <c r="R55" s="16" t="n"/>
      <c r="S55" s="16" t="n"/>
    </row>
    <row r="56">
      <c r="A56" s="15" t="inlineStr">
        <is>
          <t>2026年1-6月</t>
        </is>
      </c>
      <c r="B56" s="15" t="n">
        <v>3</v>
      </c>
      <c r="C56" s="16" t="n"/>
      <c r="D56" s="16" t="n"/>
      <c r="E56" s="17" t="n"/>
      <c r="F56" s="17" t="n"/>
      <c r="G56" s="16" t="n"/>
      <c r="H56" s="16" t="n"/>
      <c r="I56" s="17" t="n"/>
      <c r="J56" s="18" t="n"/>
      <c r="K56" s="19">
        <f>IF(J56="","",J56/$G$3)</f>
        <v/>
      </c>
      <c r="L56" s="18" t="n"/>
      <c r="M56" s="18" t="n"/>
      <c r="N56" s="18" t="n"/>
      <c r="O56" s="17" t="n"/>
      <c r="P56" s="16" t="n"/>
      <c r="Q56" s="17" t="n"/>
      <c r="R56" s="16" t="n"/>
      <c r="S56" s="16" t="n"/>
    </row>
    <row r="57">
      <c r="A57" s="15" t="inlineStr">
        <is>
          <t>2026年1-6月</t>
        </is>
      </c>
      <c r="B57" s="15" t="n">
        <v>4</v>
      </c>
      <c r="C57" s="16" t="n"/>
      <c r="D57" s="16" t="n"/>
      <c r="E57" s="17" t="n"/>
      <c r="F57" s="17" t="n"/>
      <c r="G57" s="16" t="n"/>
      <c r="H57" s="16" t="n"/>
      <c r="I57" s="17" t="n"/>
      <c r="J57" s="18" t="n"/>
      <c r="K57" s="19">
        <f>IF(J57="","",J57/$G$3)</f>
        <v/>
      </c>
      <c r="L57" s="18" t="n"/>
      <c r="M57" s="18" t="n"/>
      <c r="N57" s="18" t="n"/>
      <c r="O57" s="17" t="n"/>
      <c r="P57" s="16" t="n"/>
      <c r="Q57" s="17" t="n"/>
      <c r="R57" s="16" t="n"/>
      <c r="S57" s="16" t="n"/>
    </row>
    <row r="58">
      <c r="A58" s="15" t="inlineStr">
        <is>
          <t>2026年1-6月</t>
        </is>
      </c>
      <c r="B58" s="15" t="n">
        <v>5</v>
      </c>
      <c r="C58" s="16" t="n"/>
      <c r="D58" s="16" t="n"/>
      <c r="E58" s="17" t="n"/>
      <c r="F58" s="17" t="n"/>
      <c r="G58" s="16" t="n"/>
      <c r="H58" s="16" t="n"/>
      <c r="I58" s="17" t="n"/>
      <c r="J58" s="18" t="n"/>
      <c r="K58" s="19">
        <f>IF(J58="","",J58/$G$3)</f>
        <v/>
      </c>
      <c r="L58" s="18" t="n"/>
      <c r="M58" s="18" t="n"/>
      <c r="N58" s="18" t="n"/>
      <c r="O58" s="17" t="n"/>
      <c r="P58" s="16" t="n"/>
      <c r="Q58" s="17" t="n"/>
      <c r="R58" s="16" t="n"/>
      <c r="S58" s="16" t="n"/>
    </row>
    <row r="59">
      <c r="A59" s="15" t="inlineStr">
        <is>
          <t>2026年1-6月</t>
        </is>
      </c>
      <c r="B59" s="15" t="n">
        <v>6</v>
      </c>
      <c r="C59" s="16" t="n"/>
      <c r="D59" s="16" t="n"/>
      <c r="E59" s="17" t="n"/>
      <c r="F59" s="17" t="n"/>
      <c r="G59" s="16" t="n"/>
      <c r="H59" s="16" t="n"/>
      <c r="I59" s="17" t="n"/>
      <c r="J59" s="18" t="n"/>
      <c r="K59" s="19">
        <f>IF(J59="","",J59/$G$3)</f>
        <v/>
      </c>
      <c r="L59" s="18" t="n"/>
      <c r="M59" s="18" t="n"/>
      <c r="N59" s="18" t="n"/>
      <c r="O59" s="17" t="n"/>
      <c r="P59" s="16" t="n"/>
      <c r="Q59" s="17" t="n"/>
      <c r="R59" s="16" t="n"/>
      <c r="S59" s="16" t="n"/>
    </row>
    <row r="60">
      <c r="A60" s="15" t="inlineStr">
        <is>
          <t>2026年1-6月</t>
        </is>
      </c>
      <c r="B60" s="15" t="n">
        <v>7</v>
      </c>
      <c r="C60" s="16" t="n"/>
      <c r="D60" s="16" t="n"/>
      <c r="E60" s="17" t="n"/>
      <c r="F60" s="17" t="n"/>
      <c r="G60" s="16" t="n"/>
      <c r="H60" s="16" t="n"/>
      <c r="I60" s="17" t="n"/>
      <c r="J60" s="18" t="n"/>
      <c r="K60" s="19">
        <f>IF(J60="","",J60/$G$3)</f>
        <v/>
      </c>
      <c r="L60" s="18" t="n"/>
      <c r="M60" s="18" t="n"/>
      <c r="N60" s="18" t="n"/>
      <c r="O60" s="17" t="n"/>
      <c r="P60" s="16" t="n"/>
      <c r="Q60" s="17" t="n"/>
      <c r="R60" s="16" t="n"/>
      <c r="S60" s="16" t="n"/>
    </row>
    <row r="61">
      <c r="A61" s="15" t="inlineStr">
        <is>
          <t>2026年1-6月</t>
        </is>
      </c>
      <c r="B61" s="15" t="n">
        <v>8</v>
      </c>
      <c r="C61" s="16" t="n"/>
      <c r="D61" s="16" t="n"/>
      <c r="E61" s="17" t="n"/>
      <c r="F61" s="17" t="n"/>
      <c r="G61" s="16" t="n"/>
      <c r="H61" s="16" t="n"/>
      <c r="I61" s="17" t="n"/>
      <c r="J61" s="18" t="n"/>
      <c r="K61" s="19">
        <f>IF(J61="","",J61/$G$3)</f>
        <v/>
      </c>
      <c r="L61" s="18" t="n"/>
      <c r="M61" s="18" t="n"/>
      <c r="N61" s="18" t="n"/>
      <c r="O61" s="17" t="n"/>
      <c r="P61" s="16" t="n"/>
      <c r="Q61" s="17" t="n"/>
      <c r="R61" s="16" t="n"/>
      <c r="S61" s="16" t="n"/>
    </row>
    <row r="62">
      <c r="A62" s="15" t="inlineStr">
        <is>
          <t>2026年1-6月</t>
        </is>
      </c>
      <c r="B62" s="15" t="n">
        <v>9</v>
      </c>
      <c r="C62" s="16" t="n"/>
      <c r="D62" s="16" t="n"/>
      <c r="E62" s="17" t="n"/>
      <c r="F62" s="17" t="n"/>
      <c r="G62" s="16" t="n"/>
      <c r="H62" s="16" t="n"/>
      <c r="I62" s="17" t="n"/>
      <c r="J62" s="18" t="n"/>
      <c r="K62" s="19">
        <f>IF(J62="","",J62/$G$3)</f>
        <v/>
      </c>
      <c r="L62" s="18" t="n"/>
      <c r="M62" s="18" t="n"/>
      <c r="N62" s="18" t="n"/>
      <c r="O62" s="17" t="n"/>
      <c r="P62" s="16" t="n"/>
      <c r="Q62" s="17" t="n"/>
      <c r="R62" s="16" t="n"/>
      <c r="S62" s="16" t="n"/>
    </row>
    <row r="63">
      <c r="A63" s="15" t="inlineStr">
        <is>
          <t>2026年1-6月</t>
        </is>
      </c>
      <c r="B63" s="15" t="n">
        <v>10</v>
      </c>
      <c r="C63" s="16" t="n"/>
      <c r="D63" s="16" t="n"/>
      <c r="E63" s="17" t="n"/>
      <c r="F63" s="17" t="n"/>
      <c r="G63" s="16" t="n"/>
      <c r="H63" s="16" t="n"/>
      <c r="I63" s="17" t="n"/>
      <c r="J63" s="18" t="n"/>
      <c r="K63" s="19">
        <f>IF(J63="","",J63/$G$3)</f>
        <v/>
      </c>
      <c r="L63" s="18" t="n"/>
      <c r="M63" s="18" t="n"/>
      <c r="N63" s="18" t="n"/>
      <c r="O63" s="17" t="n"/>
      <c r="P63" s="16" t="n"/>
      <c r="Q63" s="17" t="n"/>
      <c r="R63" s="16" t="n"/>
      <c r="S63" s="16" t="n"/>
    </row>
    <row r="64">
      <c r="A64" s="15" t="inlineStr">
        <is>
          <t>2026年1-6月</t>
        </is>
      </c>
      <c r="B64" s="15" t="n">
        <v>11</v>
      </c>
      <c r="C64" s="16" t="n"/>
      <c r="D64" s="16" t="n"/>
      <c r="E64" s="17" t="n"/>
      <c r="F64" s="17" t="n"/>
      <c r="G64" s="16" t="n"/>
      <c r="H64" s="16" t="n"/>
      <c r="I64" s="17" t="n"/>
      <c r="J64" s="18" t="n"/>
      <c r="K64" s="19">
        <f>IF(J64="","",J64/$G$3)</f>
        <v/>
      </c>
      <c r="L64" s="18" t="n"/>
      <c r="M64" s="18" t="n"/>
      <c r="N64" s="18" t="n"/>
      <c r="O64" s="17" t="n"/>
      <c r="P64" s="16" t="n"/>
      <c r="Q64" s="17" t="n"/>
      <c r="R64" s="16" t="n"/>
      <c r="S64" s="16" t="n"/>
    </row>
    <row r="65">
      <c r="A65" s="15" t="inlineStr">
        <is>
          <t>2026年1-6月</t>
        </is>
      </c>
      <c r="B65" s="15" t="n">
        <v>12</v>
      </c>
      <c r="C65" s="16" t="n"/>
      <c r="D65" s="16" t="n"/>
      <c r="E65" s="17" t="n"/>
      <c r="F65" s="17" t="n"/>
      <c r="G65" s="16" t="n"/>
      <c r="H65" s="16" t="n"/>
      <c r="I65" s="17" t="n"/>
      <c r="J65" s="18" t="n"/>
      <c r="K65" s="19">
        <f>IF(J65="","",J65/$G$3)</f>
        <v/>
      </c>
      <c r="L65" s="18" t="n"/>
      <c r="M65" s="18" t="n"/>
      <c r="N65" s="18" t="n"/>
      <c r="O65" s="17" t="n"/>
      <c r="P65" s="16" t="n"/>
      <c r="Q65" s="17" t="n"/>
      <c r="R65" s="16" t="n"/>
      <c r="S65" s="16" t="n"/>
    </row>
    <row r="66">
      <c r="A66" s="15" t="inlineStr">
        <is>
          <t>2026年1-6月</t>
        </is>
      </c>
      <c r="B66" s="15" t="n">
        <v>13</v>
      </c>
      <c r="C66" s="16" t="n"/>
      <c r="D66" s="16" t="n"/>
      <c r="E66" s="17" t="n"/>
      <c r="F66" s="17" t="n"/>
      <c r="G66" s="16" t="n"/>
      <c r="H66" s="16" t="n"/>
      <c r="I66" s="17" t="n"/>
      <c r="J66" s="18" t="n"/>
      <c r="K66" s="19">
        <f>IF(J66="","",J66/$G$3)</f>
        <v/>
      </c>
      <c r="L66" s="18" t="n"/>
      <c r="M66" s="18" t="n"/>
      <c r="N66" s="18" t="n"/>
      <c r="O66" s="17" t="n"/>
      <c r="P66" s="16" t="n"/>
      <c r="Q66" s="17" t="n"/>
      <c r="R66" s="16" t="n"/>
      <c r="S66" s="16" t="n"/>
    </row>
    <row r="67">
      <c r="A67" s="15" t="inlineStr">
        <is>
          <t>2026年1-6月</t>
        </is>
      </c>
      <c r="B67" s="15" t="n">
        <v>14</v>
      </c>
      <c r="C67" s="16" t="n"/>
      <c r="D67" s="16" t="n"/>
      <c r="E67" s="17" t="n"/>
      <c r="F67" s="17" t="n"/>
      <c r="G67" s="16" t="n"/>
      <c r="H67" s="16" t="n"/>
      <c r="I67" s="17" t="n"/>
      <c r="J67" s="18" t="n"/>
      <c r="K67" s="19">
        <f>IF(J67="","",J67/$G$3)</f>
        <v/>
      </c>
      <c r="L67" s="18" t="n"/>
      <c r="M67" s="18" t="n"/>
      <c r="N67" s="18" t="n"/>
      <c r="O67" s="17" t="n"/>
      <c r="P67" s="16" t="n"/>
      <c r="Q67" s="17" t="n"/>
      <c r="R67" s="16" t="n"/>
      <c r="S67" s="16" t="n"/>
    </row>
    <row r="68">
      <c r="A68" s="15" t="inlineStr">
        <is>
          <t>2026年1-6月</t>
        </is>
      </c>
      <c r="B68" s="15" t="n">
        <v>15</v>
      </c>
      <c r="C68" s="16" t="n"/>
      <c r="D68" s="16" t="n"/>
      <c r="E68" s="17" t="n"/>
      <c r="F68" s="17" t="n"/>
      <c r="G68" s="16" t="n"/>
      <c r="H68" s="16" t="n"/>
      <c r="I68" s="17" t="n"/>
      <c r="J68" s="18" t="n"/>
      <c r="K68" s="19">
        <f>IF(J68="","",J68/$G$3)</f>
        <v/>
      </c>
      <c r="L68" s="18" t="n"/>
      <c r="M68" s="18" t="n"/>
      <c r="N68" s="18" t="n"/>
      <c r="O68" s="17" t="n"/>
      <c r="P68" s="16" t="n"/>
      <c r="Q68" s="17" t="n"/>
      <c r="R68" s="16" t="n"/>
      <c r="S68" s="16" t="n"/>
    </row>
    <row r="69">
      <c r="A69" s="15" t="inlineStr">
        <is>
          <t>2026年1-6月</t>
        </is>
      </c>
      <c r="B69" s="15" t="n">
        <v>16</v>
      </c>
      <c r="C69" s="16" t="n"/>
      <c r="D69" s="16" t="n"/>
      <c r="E69" s="17" t="n"/>
      <c r="F69" s="17" t="n"/>
      <c r="G69" s="16" t="n"/>
      <c r="H69" s="16" t="n"/>
      <c r="I69" s="17" t="n"/>
      <c r="J69" s="18" t="n"/>
      <c r="K69" s="19">
        <f>IF(J69="","",J69/$G$3)</f>
        <v/>
      </c>
      <c r="L69" s="18" t="n"/>
      <c r="M69" s="18" t="n"/>
      <c r="N69" s="18" t="n"/>
      <c r="O69" s="17" t="n"/>
      <c r="P69" s="16" t="n"/>
      <c r="Q69" s="17" t="n"/>
      <c r="R69" s="16" t="n"/>
      <c r="S69" s="16" t="n"/>
    </row>
    <row r="70">
      <c r="A70" s="15" t="inlineStr">
        <is>
          <t>2026年1-6月</t>
        </is>
      </c>
      <c r="B70" s="15" t="n">
        <v>17</v>
      </c>
      <c r="C70" s="16" t="n"/>
      <c r="D70" s="16" t="n"/>
      <c r="E70" s="17" t="n"/>
      <c r="F70" s="17" t="n"/>
      <c r="G70" s="16" t="n"/>
      <c r="H70" s="16" t="n"/>
      <c r="I70" s="17" t="n"/>
      <c r="J70" s="18" t="n"/>
      <c r="K70" s="19">
        <f>IF(J70="","",J70/$G$3)</f>
        <v/>
      </c>
      <c r="L70" s="18" t="n"/>
      <c r="M70" s="18" t="n"/>
      <c r="N70" s="18" t="n"/>
      <c r="O70" s="17" t="n"/>
      <c r="P70" s="16" t="n"/>
      <c r="Q70" s="17" t="n"/>
      <c r="R70" s="16" t="n"/>
      <c r="S70" s="16" t="n"/>
    </row>
    <row r="71">
      <c r="A71" s="15" t="inlineStr">
        <is>
          <t>2026年1-6月</t>
        </is>
      </c>
      <c r="B71" s="15" t="n">
        <v>18</v>
      </c>
      <c r="C71" s="16" t="n"/>
      <c r="D71" s="16" t="n"/>
      <c r="E71" s="17" t="n"/>
      <c r="F71" s="17" t="n"/>
      <c r="G71" s="16" t="n"/>
      <c r="H71" s="16" t="n"/>
      <c r="I71" s="17" t="n"/>
      <c r="J71" s="18" t="n"/>
      <c r="K71" s="19">
        <f>IF(J71="","",J71/$G$3)</f>
        <v/>
      </c>
      <c r="L71" s="18" t="n"/>
      <c r="M71" s="18" t="n"/>
      <c r="N71" s="18" t="n"/>
      <c r="O71" s="17" t="n"/>
      <c r="P71" s="16" t="n"/>
      <c r="Q71" s="17" t="n"/>
      <c r="R71" s="16" t="n"/>
      <c r="S71" s="16" t="n"/>
    </row>
    <row r="72">
      <c r="A72" s="15" t="inlineStr">
        <is>
          <t>2026年1-6月</t>
        </is>
      </c>
      <c r="B72" s="15" t="n">
        <v>19</v>
      </c>
      <c r="C72" s="16" t="n"/>
      <c r="D72" s="16" t="n"/>
      <c r="E72" s="17" t="n"/>
      <c r="F72" s="17" t="n"/>
      <c r="G72" s="16" t="n"/>
      <c r="H72" s="16" t="n"/>
      <c r="I72" s="17" t="n"/>
      <c r="J72" s="18" t="n"/>
      <c r="K72" s="19">
        <f>IF(J72="","",J72/$G$3)</f>
        <v/>
      </c>
      <c r="L72" s="18" t="n"/>
      <c r="M72" s="18" t="n"/>
      <c r="N72" s="18" t="n"/>
      <c r="O72" s="17" t="n"/>
      <c r="P72" s="16" t="n"/>
      <c r="Q72" s="17" t="n"/>
      <c r="R72" s="16" t="n"/>
      <c r="S72" s="16" t="n"/>
    </row>
    <row r="73">
      <c r="A73" s="15" t="inlineStr">
        <is>
          <t>2026年1-6月</t>
        </is>
      </c>
      <c r="B73" s="15" t="n">
        <v>20</v>
      </c>
      <c r="C73" s="16" t="n"/>
      <c r="D73" s="16" t="n"/>
      <c r="E73" s="17" t="n"/>
      <c r="F73" s="17" t="n"/>
      <c r="G73" s="16" t="n"/>
      <c r="H73" s="16" t="n"/>
      <c r="I73" s="17" t="n"/>
      <c r="J73" s="18" t="n"/>
      <c r="K73" s="19">
        <f>IF(J73="","",J73/$G$3)</f>
        <v/>
      </c>
      <c r="L73" s="18" t="n"/>
      <c r="M73" s="18" t="n"/>
      <c r="N73" s="18" t="n"/>
      <c r="O73" s="17" t="n"/>
      <c r="P73" s="16" t="n"/>
      <c r="Q73" s="17" t="n"/>
      <c r="R73" s="16" t="n"/>
      <c r="S73" s="16" t="n"/>
    </row>
    <row r="74">
      <c r="A74" s="20" t="inlineStr">
        <is>
          <t>2026年1-6月</t>
        </is>
      </c>
      <c r="B74" s="21" t="n"/>
      <c r="C74" s="20" t="inlineStr">
        <is>
          <t>前20名合计</t>
        </is>
      </c>
      <c r="D74" s="21" t="n"/>
      <c r="E74" s="21" t="n"/>
      <c r="F74" s="21" t="n"/>
      <c r="G74" s="21" t="n"/>
      <c r="H74" s="21" t="n"/>
      <c r="I74" s="21" t="n"/>
      <c r="J74" s="22">
        <f>SUM(J54:J73)</f>
        <v/>
      </c>
      <c r="K74" s="23">
        <f>IF(J74="","",J74/$G$3)</f>
        <v/>
      </c>
      <c r="L74" s="22">
        <f>SUM(L54:L73)</f>
        <v/>
      </c>
      <c r="M74" s="22">
        <f>SUM(M54:M73)</f>
        <v/>
      </c>
      <c r="N74" s="22">
        <f>SUM(N54:N73)</f>
        <v/>
      </c>
      <c r="O74" s="24" t="inlineStr">
        <is>
          <t>是否达到50%</t>
        </is>
      </c>
      <c r="P74" s="25">
        <f>IF(J74=0,"未填",IF(K74&gt;=0.5,"达标","未达标，请补充客户"))</f>
        <v/>
      </c>
      <c r="Q74" s="21" t="n"/>
      <c r="R74" s="21" t="n"/>
      <c r="S74" s="21" t="n"/>
    </row>
    <row r="76">
      <c r="A76" s="26" t="inlineStr">
        <is>
          <t>勾稽核对</t>
        </is>
      </c>
      <c r="B76" s="27" t="n"/>
      <c r="C76" s="27" t="n"/>
      <c r="D76" s="27" t="n"/>
      <c r="E76" s="27" t="n"/>
      <c r="F76" s="27" t="n"/>
    </row>
    <row r="77">
      <c r="A77" s="9" t="inlineStr">
        <is>
          <t>期间</t>
        </is>
      </c>
      <c r="B77" s="9" t="inlineStr">
        <is>
          <t>当期营业收入（元）</t>
        </is>
      </c>
      <c r="C77" s="9" t="inlineStr">
        <is>
          <t>前20名合计（元）</t>
        </is>
      </c>
      <c r="D77" s="9" t="inlineStr">
        <is>
          <t>合计占比</t>
        </is>
      </c>
      <c r="E77" s="9" t="inlineStr">
        <is>
          <t>差额（元）</t>
        </is>
      </c>
      <c r="F77" s="9" t="inlineStr">
        <is>
          <t>说明</t>
        </is>
      </c>
    </row>
    <row r="78">
      <c r="A78" s="15" t="inlineStr">
        <is>
          <t>2024年度</t>
        </is>
      </c>
      <c r="B78" s="28">
        <f>$C$3</f>
        <v/>
      </c>
      <c r="C78" s="29">
        <f>J28</f>
        <v/>
      </c>
      <c r="D78" s="30">
        <f>IF(C78=0,"",C78/B78)</f>
        <v/>
      </c>
      <c r="E78" s="29">
        <f>IF(C78=0,"",B78-C78)</f>
        <v/>
      </c>
      <c r="F78" s="31" t="inlineStr">
        <is>
          <t>前20名以外客户的合计销售金额</t>
        </is>
      </c>
    </row>
    <row r="79">
      <c r="A79" s="15" t="inlineStr">
        <is>
          <t>2025年度</t>
        </is>
      </c>
      <c r="B79" s="28">
        <f>$E$3</f>
        <v/>
      </c>
      <c r="C79" s="29">
        <f>J51</f>
        <v/>
      </c>
      <c r="D79" s="30">
        <f>IF(C79=0,"",C79/B79)</f>
        <v/>
      </c>
      <c r="E79" s="29">
        <f>IF(C79=0,"",B79-C79)</f>
        <v/>
      </c>
      <c r="F79" s="31" t="inlineStr">
        <is>
          <t>前20名以外客户的合计销售金额</t>
        </is>
      </c>
    </row>
    <row r="80">
      <c r="A80" s="15" t="inlineStr">
        <is>
          <t>2026年1-6月</t>
        </is>
      </c>
      <c r="B80" s="28">
        <f>$G$3</f>
        <v/>
      </c>
      <c r="C80" s="29">
        <f>J74</f>
        <v/>
      </c>
      <c r="D80" s="30">
        <f>IF(C80=0,"",C80/B80)</f>
        <v/>
      </c>
      <c r="E80" s="29">
        <f>IF(C80=0,"",B80-C80)</f>
        <v/>
      </c>
      <c r="F80" s="31" t="inlineStr">
        <is>
          <t>前20名以外客户的合计销售金额</t>
        </is>
      </c>
    </row>
    <row r="81">
      <c r="A81" s="8" t="inlineStr">
        <is>
          <t>注：B列营业收入引用第3行的假设单元格，如需修改请改第3行；绿色字体表示引用本表其他单元格。</t>
        </is>
      </c>
    </row>
  </sheetData>
  <mergeCells count="6">
    <mergeCell ref="A81:F81"/>
    <mergeCell ref="A1:S1"/>
    <mergeCell ref="A53:S53"/>
    <mergeCell ref="A30:S30"/>
    <mergeCell ref="A2:S2"/>
    <mergeCell ref="A7:S7"/>
  </mergeCells>
  <dataValidations count="3">
    <dataValidation sqref="E7:E73" showDropDown="0" showInputMessage="0" showErrorMessage="0" allowBlank="1" type="list">
      <formula1>"经销商,直销客户,电商平台,商超,其他"</formula1>
    </dataValidation>
    <dataValidation sqref="F7:F73" showDropDown="0" showInputMessage="0" showErrorMessage="0" allowBlank="1" type="list">
      <formula1>"买断经销,委托代销,直销,平台入仓,平台代销,其他"</formula1>
    </dataValidation>
    <dataValidation sqref="O7:O73 Q7:Q73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0" customWidth="1" min="10" max="10"/>
  </cols>
  <sheetData>
    <row r="1" ht="24" customHeight="1">
      <c r="A1" s="4" t="inlineStr">
        <is>
          <t>发行人与中发邢台客户重合情况分析</t>
        </is>
      </c>
    </row>
    <row r="2">
      <c r="A2" s="8" t="inlineStr">
        <is>
          <t>本表由项目组根据前两表填报结果编制，用于同业竞争事项论证。公司无需填写。</t>
        </is>
      </c>
    </row>
    <row r="4" ht="36" customHeight="1">
      <c r="A4" s="9" t="inlineStr">
        <is>
          <t>序号</t>
        </is>
      </c>
      <c r="B4" s="9" t="inlineStr">
        <is>
          <t>客户名称（全称）</t>
        </is>
      </c>
      <c r="C4" s="9" t="inlineStr">
        <is>
          <t>统一社会信用代码</t>
        </is>
      </c>
      <c r="D4" s="9" t="inlineStr">
        <is>
          <t>燕京中发
2024年度</t>
        </is>
      </c>
      <c r="E4" s="9" t="inlineStr">
        <is>
          <t>燕京中发
2025年度</t>
        </is>
      </c>
      <c r="F4" s="9" t="inlineStr">
        <is>
          <t>燕京中发
2026年1-6月</t>
        </is>
      </c>
      <c r="G4" s="9" t="inlineStr">
        <is>
          <t>中发邢台
2024年度</t>
        </is>
      </c>
      <c r="H4" s="9" t="inlineStr">
        <is>
          <t>中发邢台
2025年度</t>
        </is>
      </c>
      <c r="I4" s="9" t="inlineStr">
        <is>
          <t>中发邢台
2026年1-6月</t>
        </is>
      </c>
      <c r="J4" s="9" t="inlineStr">
        <is>
          <t>说明</t>
        </is>
      </c>
    </row>
    <row r="5">
      <c r="A5" s="15" t="n"/>
      <c r="B5" s="3" t="n"/>
      <c r="C5" s="3" t="n"/>
      <c r="D5" s="29" t="n"/>
      <c r="E5" s="29" t="n"/>
      <c r="F5" s="29" t="n"/>
      <c r="G5" s="29" t="n"/>
      <c r="H5" s="29" t="n"/>
      <c r="I5" s="29" t="n"/>
      <c r="J5" s="3" t="n"/>
    </row>
    <row r="6">
      <c r="A6" s="15" t="n"/>
      <c r="B6" s="3" t="n"/>
      <c r="C6" s="3" t="n"/>
      <c r="D6" s="29" t="n"/>
      <c r="E6" s="29" t="n"/>
      <c r="F6" s="29" t="n"/>
      <c r="G6" s="29" t="n"/>
      <c r="H6" s="29" t="n"/>
      <c r="I6" s="29" t="n"/>
      <c r="J6" s="3" t="n"/>
    </row>
    <row r="7">
      <c r="A7" s="15" t="n"/>
      <c r="B7" s="3" t="n"/>
      <c r="C7" s="3" t="n"/>
      <c r="D7" s="29" t="n"/>
      <c r="E7" s="29" t="n"/>
      <c r="F7" s="29" t="n"/>
      <c r="G7" s="29" t="n"/>
      <c r="H7" s="29" t="n"/>
      <c r="I7" s="29" t="n"/>
      <c r="J7" s="3" t="n"/>
    </row>
    <row r="8">
      <c r="A8" s="15" t="n"/>
      <c r="B8" s="3" t="n"/>
      <c r="C8" s="3" t="n"/>
      <c r="D8" s="29" t="n"/>
      <c r="E8" s="29" t="n"/>
      <c r="F8" s="29" t="n"/>
      <c r="G8" s="29" t="n"/>
      <c r="H8" s="29" t="n"/>
      <c r="I8" s="29" t="n"/>
      <c r="J8" s="3" t="n"/>
    </row>
    <row r="9">
      <c r="A9" s="15" t="n"/>
      <c r="B9" s="3" t="n"/>
      <c r="C9" s="3" t="n"/>
      <c r="D9" s="29" t="n"/>
      <c r="E9" s="29" t="n"/>
      <c r="F9" s="29" t="n"/>
      <c r="G9" s="29" t="n"/>
      <c r="H9" s="29" t="n"/>
      <c r="I9" s="29" t="n"/>
      <c r="J9" s="3" t="n"/>
    </row>
    <row r="10">
      <c r="A10" s="15" t="n"/>
      <c r="B10" s="3" t="n"/>
      <c r="C10" s="3" t="n"/>
      <c r="D10" s="29" t="n"/>
      <c r="E10" s="29" t="n"/>
      <c r="F10" s="29" t="n"/>
      <c r="G10" s="29" t="n"/>
      <c r="H10" s="29" t="n"/>
      <c r="I10" s="29" t="n"/>
      <c r="J10" s="3" t="n"/>
    </row>
    <row r="11">
      <c r="A11" s="15" t="n"/>
      <c r="B11" s="3" t="n"/>
      <c r="C11" s="3" t="n"/>
      <c r="D11" s="29" t="n"/>
      <c r="E11" s="29" t="n"/>
      <c r="F11" s="29" t="n"/>
      <c r="G11" s="29" t="n"/>
      <c r="H11" s="29" t="n"/>
      <c r="I11" s="29" t="n"/>
      <c r="J11" s="3" t="n"/>
    </row>
    <row r="12">
      <c r="A12" s="15" t="n"/>
      <c r="B12" s="3" t="n"/>
      <c r="C12" s="3" t="n"/>
      <c r="D12" s="29" t="n"/>
      <c r="E12" s="29" t="n"/>
      <c r="F12" s="29" t="n"/>
      <c r="G12" s="29" t="n"/>
      <c r="H12" s="29" t="n"/>
      <c r="I12" s="29" t="n"/>
      <c r="J12" s="3" t="n"/>
    </row>
    <row r="13">
      <c r="A13" s="15" t="n"/>
      <c r="B13" s="3" t="n"/>
      <c r="C13" s="3" t="n"/>
      <c r="D13" s="29" t="n"/>
      <c r="E13" s="29" t="n"/>
      <c r="F13" s="29" t="n"/>
      <c r="G13" s="29" t="n"/>
      <c r="H13" s="29" t="n"/>
      <c r="I13" s="29" t="n"/>
      <c r="J13" s="3" t="n"/>
    </row>
    <row r="14">
      <c r="A14" s="15" t="n"/>
      <c r="B14" s="3" t="n"/>
      <c r="C14" s="3" t="n"/>
      <c r="D14" s="29" t="n"/>
      <c r="E14" s="29" t="n"/>
      <c r="F14" s="29" t="n"/>
      <c r="G14" s="29" t="n"/>
      <c r="H14" s="29" t="n"/>
      <c r="I14" s="29" t="n"/>
      <c r="J14" s="3" t="n"/>
    </row>
    <row r="15">
      <c r="A15" s="15" t="n"/>
      <c r="B15" s="3" t="n"/>
      <c r="C15" s="3" t="n"/>
      <c r="D15" s="29" t="n"/>
      <c r="E15" s="29" t="n"/>
      <c r="F15" s="29" t="n"/>
      <c r="G15" s="29" t="n"/>
      <c r="H15" s="29" t="n"/>
      <c r="I15" s="29" t="n"/>
      <c r="J15" s="3" t="n"/>
    </row>
    <row r="16">
      <c r="A16" s="15" t="n"/>
      <c r="B16" s="3" t="n"/>
      <c r="C16" s="3" t="n"/>
      <c r="D16" s="29" t="n"/>
      <c r="E16" s="29" t="n"/>
      <c r="F16" s="29" t="n"/>
      <c r="G16" s="29" t="n"/>
      <c r="H16" s="29" t="n"/>
      <c r="I16" s="29" t="n"/>
      <c r="J16" s="3" t="n"/>
    </row>
    <row r="17">
      <c r="A17" s="15" t="n"/>
      <c r="B17" s="3" t="n"/>
      <c r="C17" s="3" t="n"/>
      <c r="D17" s="29" t="n"/>
      <c r="E17" s="29" t="n"/>
      <c r="F17" s="29" t="n"/>
      <c r="G17" s="29" t="n"/>
      <c r="H17" s="29" t="n"/>
      <c r="I17" s="29" t="n"/>
      <c r="J17" s="3" t="n"/>
    </row>
    <row r="18">
      <c r="A18" s="15" t="n"/>
      <c r="B18" s="3" t="n"/>
      <c r="C18" s="3" t="n"/>
      <c r="D18" s="29" t="n"/>
      <c r="E18" s="29" t="n"/>
      <c r="F18" s="29" t="n"/>
      <c r="G18" s="29" t="n"/>
      <c r="H18" s="29" t="n"/>
      <c r="I18" s="29" t="n"/>
      <c r="J18" s="3" t="n"/>
    </row>
    <row r="19">
      <c r="A19" s="15" t="n"/>
      <c r="B19" s="3" t="n"/>
      <c r="C19" s="3" t="n"/>
      <c r="D19" s="29" t="n"/>
      <c r="E19" s="29" t="n"/>
      <c r="F19" s="29" t="n"/>
      <c r="G19" s="29" t="n"/>
      <c r="H19" s="29" t="n"/>
      <c r="I19" s="29" t="n"/>
      <c r="J19" s="3" t="n"/>
    </row>
    <row r="20">
      <c r="A20" s="15" t="n"/>
      <c r="B20" s="3" t="n"/>
      <c r="C20" s="3" t="n"/>
      <c r="D20" s="29" t="n"/>
      <c r="E20" s="29" t="n"/>
      <c r="F20" s="29" t="n"/>
      <c r="G20" s="29" t="n"/>
      <c r="H20" s="29" t="n"/>
      <c r="I20" s="29" t="n"/>
      <c r="J20" s="3" t="n"/>
    </row>
    <row r="21">
      <c r="A21" s="15" t="n"/>
      <c r="B21" s="3" t="n"/>
      <c r="C21" s="3" t="n"/>
      <c r="D21" s="29" t="n"/>
      <c r="E21" s="29" t="n"/>
      <c r="F21" s="29" t="n"/>
      <c r="G21" s="29" t="n"/>
      <c r="H21" s="29" t="n"/>
      <c r="I21" s="29" t="n"/>
      <c r="J21" s="3" t="n"/>
    </row>
    <row r="22">
      <c r="A22" s="15" t="n"/>
      <c r="B22" s="3" t="n"/>
      <c r="C22" s="3" t="n"/>
      <c r="D22" s="29" t="n"/>
      <c r="E22" s="29" t="n"/>
      <c r="F22" s="29" t="n"/>
      <c r="G22" s="29" t="n"/>
      <c r="H22" s="29" t="n"/>
      <c r="I22" s="29" t="n"/>
      <c r="J22" s="3" t="n"/>
    </row>
    <row r="23">
      <c r="A23" s="15" t="n"/>
      <c r="B23" s="3" t="n"/>
      <c r="C23" s="3" t="n"/>
      <c r="D23" s="29" t="n"/>
      <c r="E23" s="29" t="n"/>
      <c r="F23" s="29" t="n"/>
      <c r="G23" s="29" t="n"/>
      <c r="H23" s="29" t="n"/>
      <c r="I23" s="29" t="n"/>
      <c r="J23" s="3" t="n"/>
    </row>
    <row r="24">
      <c r="A24" s="15" t="n"/>
      <c r="B24" s="3" t="n"/>
      <c r="C24" s="3" t="n"/>
      <c r="D24" s="29" t="n"/>
      <c r="E24" s="29" t="n"/>
      <c r="F24" s="29" t="n"/>
      <c r="G24" s="29" t="n"/>
      <c r="H24" s="29" t="n"/>
      <c r="I24" s="29" t="n"/>
      <c r="J24" s="3" t="n"/>
    </row>
    <row r="25">
      <c r="A25" s="15" t="n"/>
      <c r="B25" s="3" t="n"/>
      <c r="C25" s="3" t="n"/>
      <c r="D25" s="29" t="n"/>
      <c r="E25" s="29" t="n"/>
      <c r="F25" s="29" t="n"/>
      <c r="G25" s="29" t="n"/>
      <c r="H25" s="29" t="n"/>
      <c r="I25" s="29" t="n"/>
      <c r="J25" s="3" t="n"/>
    </row>
    <row r="26">
      <c r="A26" s="15" t="n"/>
      <c r="B26" s="3" t="n"/>
      <c r="C26" s="3" t="n"/>
      <c r="D26" s="29" t="n"/>
      <c r="E26" s="29" t="n"/>
      <c r="F26" s="29" t="n"/>
      <c r="G26" s="29" t="n"/>
      <c r="H26" s="29" t="n"/>
      <c r="I26" s="29" t="n"/>
      <c r="J26" s="3" t="n"/>
    </row>
    <row r="27">
      <c r="A27" s="15" t="n"/>
      <c r="B27" s="3" t="n"/>
      <c r="C27" s="3" t="n"/>
      <c r="D27" s="29" t="n"/>
      <c r="E27" s="29" t="n"/>
      <c r="F27" s="29" t="n"/>
      <c r="G27" s="29" t="n"/>
      <c r="H27" s="29" t="n"/>
      <c r="I27" s="29" t="n"/>
      <c r="J27" s="3" t="n"/>
    </row>
    <row r="28">
      <c r="A28" s="15" t="n"/>
      <c r="B28" s="3" t="n"/>
      <c r="C28" s="3" t="n"/>
      <c r="D28" s="29" t="n"/>
      <c r="E28" s="29" t="n"/>
      <c r="F28" s="29" t="n"/>
      <c r="G28" s="29" t="n"/>
      <c r="H28" s="29" t="n"/>
      <c r="I28" s="29" t="n"/>
      <c r="J28" s="3" t="n"/>
    </row>
    <row r="29">
      <c r="A29" s="15" t="n"/>
      <c r="B29" s="3" t="n"/>
      <c r="C29" s="3" t="n"/>
      <c r="D29" s="29" t="n"/>
      <c r="E29" s="29" t="n"/>
      <c r="F29" s="29" t="n"/>
      <c r="G29" s="29" t="n"/>
      <c r="H29" s="29" t="n"/>
      <c r="I29" s="29" t="n"/>
      <c r="J29" s="3" t="n"/>
    </row>
    <row r="30">
      <c r="A30" s="15" t="n"/>
      <c r="B30" s="3" t="n"/>
      <c r="C30" s="3" t="n"/>
      <c r="D30" s="29" t="n"/>
      <c r="E30" s="29" t="n"/>
      <c r="F30" s="29" t="n"/>
      <c r="G30" s="29" t="n"/>
      <c r="H30" s="29" t="n"/>
      <c r="I30" s="29" t="n"/>
      <c r="J30" s="3" t="n"/>
    </row>
    <row r="31">
      <c r="A31" s="15" t="n"/>
      <c r="B31" s="3" t="n"/>
      <c r="C31" s="3" t="n"/>
      <c r="D31" s="29" t="n"/>
      <c r="E31" s="29" t="n"/>
      <c r="F31" s="29" t="n"/>
      <c r="G31" s="29" t="n"/>
      <c r="H31" s="29" t="n"/>
      <c r="I31" s="29" t="n"/>
      <c r="J31" s="3" t="n"/>
    </row>
    <row r="32">
      <c r="A32" s="15" t="n"/>
      <c r="B32" s="3" t="n"/>
      <c r="C32" s="3" t="n"/>
      <c r="D32" s="29" t="n"/>
      <c r="E32" s="29" t="n"/>
      <c r="F32" s="29" t="n"/>
      <c r="G32" s="29" t="n"/>
      <c r="H32" s="29" t="n"/>
      <c r="I32" s="29" t="n"/>
      <c r="J32" s="3" t="n"/>
    </row>
    <row r="33">
      <c r="A33" s="15" t="n"/>
      <c r="B33" s="3" t="n"/>
      <c r="C33" s="3" t="n"/>
      <c r="D33" s="29" t="n"/>
      <c r="E33" s="29" t="n"/>
      <c r="F33" s="29" t="n"/>
      <c r="G33" s="29" t="n"/>
      <c r="H33" s="29" t="n"/>
      <c r="I33" s="29" t="n"/>
      <c r="J33" s="3" t="n"/>
    </row>
    <row r="34">
      <c r="A34" s="15" t="n"/>
      <c r="B34" s="3" t="n"/>
      <c r="C34" s="3" t="n"/>
      <c r="D34" s="29" t="n"/>
      <c r="E34" s="29" t="n"/>
      <c r="F34" s="29" t="n"/>
      <c r="G34" s="29" t="n"/>
      <c r="H34" s="29" t="n"/>
      <c r="I34" s="29" t="n"/>
      <c r="J34" s="3" t="n"/>
    </row>
    <row r="36">
      <c r="B36" s="32" t="inlineStr">
        <is>
          <t>重合客户合计</t>
        </is>
      </c>
      <c r="D36" s="22">
        <f>SUM(D5:D34)</f>
        <v/>
      </c>
      <c r="E36" s="22">
        <f>SUM(E5:E34)</f>
        <v/>
      </c>
      <c r="F36" s="22">
        <f>SUM(F5:F34)</f>
        <v/>
      </c>
      <c r="G36" s="22">
        <f>SUM(G5:G34)</f>
        <v/>
      </c>
      <c r="H36" s="22">
        <f>SUM(H5:H34)</f>
        <v/>
      </c>
      <c r="I36" s="22">
        <f>SUM(I5:I34)</f>
        <v/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2026-08-14T08:49:42Z</dcterms:created>
  <dcterms:modified xmlns:dcterms="http://purl.org/dc/terms/" xmlns:xsi="http://www.w3.org/2001/XMLSchema-instance" xsi:type="dcterms:W3CDTF">2026-08-14T08:49:42Z</dcterms:modified>
</cp:coreProperties>
</file>